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518\Desktop\"/>
    </mc:Choice>
  </mc:AlternateContent>
  <xr:revisionPtr revIDLastSave="0" documentId="13_ncr:1_{57506048-EF8C-4C44-B550-19B3373579B6}" xr6:coauthVersionLast="47" xr6:coauthVersionMax="47" xr10:uidLastSave="{00000000-0000-0000-0000-000000000000}"/>
  <bookViews>
    <workbookView xWindow="-120" yWindow="-120" windowWidth="29040" windowHeight="15720" activeTab="7" xr2:uid="{F68C46A0-5315-4581-903F-4398F5F6BAB7}"/>
  </bookViews>
  <sheets>
    <sheet name="Dashboard" sheetId="9" r:id="rId1"/>
    <sheet name="Asset Register" sheetId="6" r:id="rId2"/>
    <sheet name="Movement Log" sheetId="8" r:id="rId3"/>
    <sheet name="Lists" sheetId="5" r:id="rId4"/>
    <sheet name="Tab 8&quot;" sheetId="1" r:id="rId5"/>
    <sheet name="Tab 10&quot;" sheetId="2" r:id="rId6"/>
    <sheet name="PC" sheetId="4" r:id="rId7"/>
    <sheet name="VHF" sheetId="3" r:id="rId8"/>
  </sheets>
  <definedNames>
    <definedName name="_xlnm._FilterDatabase" localSheetId="4" hidden="1">'Tab 8"'!$A$2:$I$48</definedName>
    <definedName name="lstAction">Lists!$D$2:$D$30</definedName>
    <definedName name="lstAssetID">Register[Asset ID]</definedName>
    <definedName name="lstLocation">Lists!$C$2:$C$40</definedName>
    <definedName name="lstOperator">Lists!$E$2:$E$20</definedName>
    <definedName name="lstStatus">Lists!$B$2:$B$30</definedName>
    <definedName name="lstType">Lists!$A$2:$A$30</definedName>
    <definedName name="VerifyDays">Lists!$G$2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9" l="1"/>
  <c r="N30" i="9"/>
  <c r="N29" i="9"/>
  <c r="N32" i="9"/>
  <c r="N28" i="9"/>
  <c r="N27" i="9"/>
  <c r="N26" i="9"/>
  <c r="N25" i="9"/>
  <c r="N24" i="9"/>
  <c r="N23" i="9"/>
  <c r="N22" i="9"/>
  <c r="N21" i="9"/>
  <c r="N20" i="9"/>
  <c r="N19" i="9"/>
  <c r="N18" i="9"/>
  <c r="C34" i="9"/>
  <c r="D34" i="9"/>
  <c r="E34" i="9"/>
  <c r="F34" i="9"/>
  <c r="G34" i="9"/>
  <c r="G33" i="9"/>
  <c r="C33" i="9"/>
  <c r="D33" i="9"/>
  <c r="E33" i="9"/>
  <c r="F33" i="9"/>
  <c r="G32" i="9"/>
  <c r="C32" i="9"/>
  <c r="D32" i="9"/>
  <c r="E32" i="9"/>
  <c r="F32" i="9"/>
  <c r="B32" i="9"/>
  <c r="G31" i="9"/>
  <c r="C31" i="9"/>
  <c r="D31" i="9"/>
  <c r="E31" i="9"/>
  <c r="F31" i="9"/>
  <c r="B31" i="9"/>
  <c r="G30" i="9"/>
  <c r="C30" i="9"/>
  <c r="D30" i="9"/>
  <c r="E30" i="9"/>
  <c r="F30" i="9"/>
  <c r="B30" i="9"/>
  <c r="G29" i="9"/>
  <c r="C29" i="9"/>
  <c r="D29" i="9"/>
  <c r="E29" i="9"/>
  <c r="F29" i="9"/>
  <c r="B29" i="9"/>
  <c r="G28" i="9"/>
  <c r="C28" i="9"/>
  <c r="D28" i="9"/>
  <c r="E28" i="9"/>
  <c r="F28" i="9"/>
  <c r="B28" i="9"/>
  <c r="G27" i="9"/>
  <c r="C27" i="9"/>
  <c r="D27" i="9"/>
  <c r="E27" i="9"/>
  <c r="F27" i="9"/>
  <c r="B27" i="9"/>
  <c r="G26" i="9"/>
  <c r="C26" i="9"/>
  <c r="D26" i="9"/>
  <c r="E26" i="9"/>
  <c r="F26" i="9"/>
  <c r="B26" i="9"/>
  <c r="G25" i="9"/>
  <c r="C25" i="9"/>
  <c r="D25" i="9"/>
  <c r="E25" i="9"/>
  <c r="F25" i="9"/>
  <c r="B25" i="9"/>
  <c r="G24" i="9"/>
  <c r="C24" i="9"/>
  <c r="D24" i="9"/>
  <c r="E24" i="9"/>
  <c r="F24" i="9"/>
  <c r="B24" i="9"/>
  <c r="G23" i="9"/>
  <c r="C23" i="9"/>
  <c r="D23" i="9"/>
  <c r="E23" i="9"/>
  <c r="F23" i="9"/>
  <c r="B23" i="9"/>
  <c r="G22" i="9"/>
  <c r="C22" i="9"/>
  <c r="D22" i="9"/>
  <c r="E22" i="9"/>
  <c r="F22" i="9"/>
  <c r="B22" i="9"/>
  <c r="G21" i="9"/>
  <c r="C21" i="9"/>
  <c r="D21" i="9"/>
  <c r="E21" i="9"/>
  <c r="F21" i="9"/>
  <c r="B21" i="9"/>
  <c r="G20" i="9"/>
  <c r="C20" i="9"/>
  <c r="D20" i="9"/>
  <c r="E20" i="9"/>
  <c r="F20" i="9"/>
  <c r="B20" i="9"/>
  <c r="G19" i="9"/>
  <c r="C19" i="9"/>
  <c r="D19" i="9"/>
  <c r="E19" i="9"/>
  <c r="F19" i="9"/>
  <c r="B19" i="9"/>
  <c r="G18" i="9"/>
  <c r="C18" i="9"/>
  <c r="D18" i="9"/>
  <c r="E18" i="9"/>
  <c r="F18" i="9"/>
  <c r="B18" i="9"/>
  <c r="F17" i="9"/>
  <c r="E17" i="9"/>
  <c r="D17" i="9"/>
  <c r="C17" i="9"/>
  <c r="C13" i="9"/>
  <c r="D13" i="9"/>
  <c r="E13" i="9"/>
  <c r="F13" i="9"/>
  <c r="G13" i="9"/>
  <c r="H13" i="9"/>
  <c r="I13" i="9"/>
  <c r="J13" i="9"/>
  <c r="K13" i="9"/>
  <c r="K12" i="9"/>
  <c r="C12" i="9"/>
  <c r="D12" i="9"/>
  <c r="E12" i="9"/>
  <c r="F12" i="9"/>
  <c r="G12" i="9"/>
  <c r="H12" i="9"/>
  <c r="I12" i="9"/>
  <c r="J12" i="9"/>
  <c r="B12" i="9"/>
  <c r="K11" i="9"/>
  <c r="C11" i="9"/>
  <c r="D11" i="9"/>
  <c r="E11" i="9"/>
  <c r="F11" i="9"/>
  <c r="G11" i="9"/>
  <c r="H11" i="9"/>
  <c r="I11" i="9"/>
  <c r="J11" i="9"/>
  <c r="B11" i="9"/>
  <c r="K10" i="9"/>
  <c r="C10" i="9"/>
  <c r="D10" i="9"/>
  <c r="E10" i="9"/>
  <c r="F10" i="9"/>
  <c r="G10" i="9"/>
  <c r="H10" i="9"/>
  <c r="I10" i="9"/>
  <c r="J10" i="9"/>
  <c r="B10" i="9"/>
  <c r="K9" i="9"/>
  <c r="C9" i="9"/>
  <c r="D9" i="9"/>
  <c r="E9" i="9"/>
  <c r="F9" i="9"/>
  <c r="G9" i="9"/>
  <c r="H9" i="9"/>
  <c r="I9" i="9"/>
  <c r="J9" i="9"/>
  <c r="B9" i="9"/>
  <c r="J8" i="9"/>
  <c r="I8" i="9"/>
  <c r="H8" i="9"/>
  <c r="G8" i="9"/>
  <c r="F8" i="9"/>
  <c r="E8" i="9"/>
  <c r="D8" i="9"/>
  <c r="C8" i="9"/>
  <c r="B5" i="9"/>
  <c r="C5" i="9"/>
  <c r="D5" i="9"/>
  <c r="E5" i="9"/>
  <c r="F5" i="9"/>
  <c r="G5" i="9"/>
  <c r="B2" i="9"/>
  <c r="K5" i="8"/>
  <c r="C5" i="8"/>
  <c r="D5" i="8"/>
  <c r="Q5" i="6"/>
  <c r="R5" i="6" s="1"/>
  <c r="N31" i="9" s="1"/>
  <c r="Q6" i="6"/>
  <c r="R6" i="6" s="1"/>
  <c r="Q7" i="6"/>
  <c r="R7" i="6" s="1"/>
  <c r="Q8" i="6"/>
  <c r="R8" i="6" s="1"/>
  <c r="Q9" i="6"/>
  <c r="R9" i="6" s="1"/>
  <c r="Q10" i="6"/>
  <c r="R10" i="6" s="1"/>
  <c r="Q11" i="6"/>
  <c r="R11" i="6" s="1"/>
  <c r="Q12" i="6"/>
  <c r="R12" i="6" s="1"/>
  <c r="Q13" i="6"/>
  <c r="R13" i="6" s="1"/>
  <c r="Q14" i="6"/>
  <c r="R14" i="6" s="1"/>
  <c r="Q15" i="6"/>
  <c r="R15" i="6" s="1"/>
  <c r="Q16" i="6"/>
  <c r="R16" i="6" s="1"/>
  <c r="Q17" i="6"/>
  <c r="R17" i="6" s="1"/>
  <c r="Q18" i="6"/>
  <c r="R18" i="6" s="1"/>
  <c r="Q19" i="6"/>
  <c r="R19" i="6" s="1"/>
  <c r="Q20" i="6"/>
  <c r="R20" i="6" s="1"/>
  <c r="Q21" i="6"/>
  <c r="R21" i="6" s="1"/>
  <c r="Q22" i="6"/>
  <c r="R22" i="6" s="1"/>
  <c r="Q23" i="6"/>
  <c r="R23" i="6" s="1"/>
  <c r="Q24" i="6"/>
  <c r="R24" i="6" s="1"/>
  <c r="Q25" i="6"/>
  <c r="R25" i="6" s="1"/>
  <c r="Q26" i="6"/>
  <c r="R26" i="6" s="1"/>
  <c r="Q27" i="6"/>
  <c r="R27" i="6" s="1"/>
  <c r="Q28" i="6"/>
  <c r="R28" i="6" s="1"/>
  <c r="Q29" i="6"/>
  <c r="R29" i="6" s="1"/>
  <c r="Q30" i="6"/>
  <c r="R30" i="6" s="1"/>
  <c r="Q31" i="6"/>
  <c r="R31" i="6" s="1"/>
  <c r="Q32" i="6"/>
  <c r="R32" i="6" s="1"/>
  <c r="Q33" i="6"/>
  <c r="R33" i="6" s="1"/>
  <c r="Q34" i="6"/>
  <c r="R34" i="6" s="1"/>
  <c r="Q35" i="6"/>
  <c r="R35" i="6" s="1"/>
  <c r="Q36" i="6"/>
  <c r="R36" i="6" s="1"/>
  <c r="Q37" i="6"/>
  <c r="R37" i="6" s="1"/>
  <c r="Q38" i="6"/>
  <c r="R38" i="6" s="1"/>
  <c r="Q39" i="6"/>
  <c r="R39" i="6" s="1"/>
  <c r="Q40" i="6"/>
  <c r="R40" i="6" s="1"/>
  <c r="Q41" i="6"/>
  <c r="R41" i="6" s="1"/>
  <c r="Q42" i="6"/>
  <c r="R42" i="6" s="1"/>
  <c r="Q43" i="6"/>
  <c r="R43" i="6" s="1"/>
  <c r="Q44" i="6"/>
  <c r="R44" i="6" s="1"/>
  <c r="Q45" i="6"/>
  <c r="R45" i="6" s="1"/>
  <c r="Q46" i="6"/>
  <c r="R46" i="6" s="1"/>
  <c r="Q47" i="6"/>
  <c r="R47" i="6" s="1"/>
  <c r="Q48" i="6"/>
  <c r="R48" i="6" s="1"/>
  <c r="Q49" i="6"/>
  <c r="R49" i="6" s="1"/>
  <c r="Q50" i="6"/>
  <c r="R50" i="6" s="1"/>
  <c r="Q51" i="6"/>
  <c r="R51" i="6" s="1"/>
  <c r="Q52" i="6"/>
  <c r="R52" i="6" s="1"/>
  <c r="Q53" i="6"/>
  <c r="R53" i="6" s="1"/>
  <c r="Q54" i="6"/>
  <c r="R54" i="6" s="1"/>
  <c r="Q55" i="6"/>
  <c r="R55" i="6" s="1"/>
  <c r="Q56" i="6"/>
  <c r="R56" i="6" s="1"/>
  <c r="Q57" i="6"/>
  <c r="R57" i="6" s="1"/>
  <c r="Q58" i="6"/>
  <c r="R58" i="6" s="1"/>
  <c r="Q59" i="6"/>
  <c r="R59" i="6" s="1"/>
  <c r="Q60" i="6"/>
  <c r="R60" i="6" s="1"/>
  <c r="Q61" i="6"/>
  <c r="R61" i="6" s="1"/>
  <c r="Q62" i="6"/>
  <c r="R62" i="6" s="1"/>
  <c r="Q63" i="6"/>
  <c r="R63" i="6" s="1"/>
  <c r="Q64" i="6"/>
  <c r="R64" i="6" s="1"/>
  <c r="Q65" i="6"/>
  <c r="R65" i="6" s="1"/>
  <c r="Q66" i="6"/>
  <c r="R66" i="6" s="1"/>
  <c r="Q67" i="6"/>
  <c r="R67" i="6" s="1"/>
  <c r="Q68" i="6"/>
  <c r="R68" i="6" s="1"/>
  <c r="Q69" i="6"/>
  <c r="R69" i="6" s="1"/>
  <c r="Q70" i="6"/>
  <c r="R70" i="6" s="1"/>
  <c r="Q71" i="6"/>
  <c r="R71" i="6" s="1"/>
  <c r="Q72" i="6"/>
  <c r="R72" i="6" s="1"/>
  <c r="Q73" i="6"/>
  <c r="R73" i="6" s="1"/>
  <c r="Q74" i="6"/>
  <c r="R74" i="6" s="1"/>
  <c r="Q75" i="6"/>
  <c r="R75" i="6" s="1"/>
  <c r="Q76" i="6"/>
  <c r="R76" i="6" s="1"/>
  <c r="Q77" i="6"/>
  <c r="R77" i="6" s="1"/>
  <c r="Q78" i="6"/>
  <c r="R78" i="6" s="1"/>
  <c r="Q79" i="6"/>
  <c r="R79" i="6" s="1"/>
  <c r="Q80" i="6"/>
  <c r="R80" i="6" s="1"/>
  <c r="Q81" i="6"/>
  <c r="R81" i="6" s="1"/>
  <c r="Q82" i="6"/>
  <c r="R82" i="6" s="1"/>
  <c r="Q83" i="6"/>
  <c r="R83" i="6" s="1"/>
  <c r="Q84" i="6"/>
  <c r="R84" i="6" s="1"/>
  <c r="Q85" i="6"/>
  <c r="R85" i="6" s="1"/>
  <c r="Q86" i="6"/>
  <c r="R86" i="6" s="1"/>
  <c r="Q87" i="6"/>
  <c r="R87" i="6" s="1"/>
  <c r="Q88" i="6"/>
  <c r="R88" i="6" s="1"/>
  <c r="Q89" i="6"/>
  <c r="R89" i="6" s="1"/>
  <c r="Q90" i="6"/>
  <c r="R90" i="6" s="1"/>
  <c r="Q91" i="6"/>
  <c r="R91" i="6" s="1"/>
  <c r="Q92" i="6"/>
  <c r="R92" i="6" s="1"/>
  <c r="Q93" i="6"/>
  <c r="R93" i="6" s="1"/>
  <c r="Q94" i="6"/>
  <c r="R94" i="6" s="1"/>
  <c r="Q95" i="6"/>
  <c r="R95" i="6" s="1"/>
  <c r="Q96" i="6"/>
  <c r="R96" i="6" s="1"/>
  <c r="Q97" i="6"/>
  <c r="R97" i="6" s="1"/>
  <c r="Q98" i="6"/>
  <c r="R98" i="6" s="1"/>
  <c r="Q99" i="6"/>
  <c r="R99" i="6" s="1"/>
  <c r="Q100" i="6"/>
  <c r="R100" i="6" s="1"/>
  <c r="Q101" i="6"/>
  <c r="R101" i="6" s="1"/>
  <c r="Q102" i="6"/>
  <c r="R102" i="6" s="1"/>
  <c r="Q103" i="6"/>
  <c r="R103" i="6" s="1"/>
  <c r="Q104" i="6"/>
  <c r="R104" i="6" s="1"/>
  <c r="Q105" i="6"/>
  <c r="R105" i="6" s="1"/>
  <c r="Q106" i="6"/>
  <c r="R106" i="6" s="1"/>
  <c r="Q107" i="6"/>
  <c r="R107" i="6" s="1"/>
  <c r="Q108" i="6"/>
  <c r="R108" i="6" s="1"/>
  <c r="Q109" i="6"/>
  <c r="R109" i="6" s="1"/>
  <c r="Q110" i="6"/>
  <c r="R110" i="6" s="1"/>
  <c r="Q111" i="6"/>
  <c r="R111" i="6" s="1"/>
  <c r="Q112" i="6"/>
  <c r="R112" i="6" s="1"/>
  <c r="Q113" i="6"/>
  <c r="R113" i="6" s="1"/>
  <c r="Q114" i="6"/>
  <c r="R114" i="6" s="1"/>
  <c r="Q115" i="6"/>
  <c r="R115" i="6" s="1"/>
  <c r="Q116" i="6"/>
  <c r="R116" i="6" s="1"/>
  <c r="Q117" i="6"/>
  <c r="R117" i="6" s="1"/>
  <c r="Q118" i="6"/>
  <c r="R118" i="6" s="1"/>
  <c r="Q119" i="6"/>
  <c r="R119" i="6" s="1"/>
  <c r="Q120" i="6"/>
  <c r="R120" i="6" s="1"/>
  <c r="Q121" i="6"/>
  <c r="R121" i="6" s="1"/>
  <c r="Q122" i="6"/>
  <c r="R122" i="6" s="1"/>
  <c r="Q123" i="6"/>
  <c r="R123" i="6" s="1"/>
  <c r="Q124" i="6"/>
  <c r="R124" i="6" s="1"/>
  <c r="Q125" i="6"/>
  <c r="R125" i="6" s="1"/>
  <c r="Q126" i="6"/>
  <c r="R126" i="6" s="1"/>
  <c r="Q127" i="6"/>
  <c r="R127" i="6" s="1"/>
  <c r="Q128" i="6"/>
  <c r="R128" i="6" s="1"/>
  <c r="Q129" i="6"/>
  <c r="R129" i="6" s="1"/>
  <c r="Q130" i="6"/>
  <c r="R130" i="6" s="1"/>
  <c r="Q131" i="6"/>
  <c r="R131" i="6" s="1"/>
  <c r="Q132" i="6"/>
  <c r="R132" i="6" s="1"/>
  <c r="Q133" i="6"/>
  <c r="R133" i="6" s="1"/>
  <c r="Q134" i="6"/>
  <c r="R134" i="6" s="1"/>
  <c r="Q135" i="6"/>
  <c r="R135" i="6" s="1"/>
  <c r="Q136" i="6"/>
  <c r="R136" i="6" s="1"/>
  <c r="Q137" i="6"/>
  <c r="R137" i="6" s="1"/>
  <c r="Q138" i="6"/>
  <c r="R138" i="6" s="1"/>
  <c r="Q139" i="6"/>
  <c r="R139" i="6" s="1"/>
  <c r="Q140" i="6"/>
  <c r="R140" i="6" s="1"/>
  <c r="Q141" i="6"/>
  <c r="R141" i="6" s="1"/>
  <c r="Q142" i="6"/>
  <c r="R142" i="6" s="1"/>
  <c r="Q143" i="6"/>
  <c r="R143" i="6" s="1"/>
  <c r="Q144" i="6"/>
  <c r="R144" i="6" s="1"/>
  <c r="Q145" i="6"/>
  <c r="R145" i="6" s="1"/>
  <c r="Q146" i="6"/>
  <c r="R146" i="6" s="1"/>
  <c r="Q147" i="6"/>
  <c r="R147" i="6" s="1"/>
  <c r="Q148" i="6"/>
  <c r="R148" i="6" s="1"/>
  <c r="Q149" i="6"/>
  <c r="R149" i="6" s="1"/>
  <c r="Q150" i="6"/>
  <c r="R150" i="6" s="1"/>
  <c r="Q151" i="6"/>
  <c r="R151" i="6" s="1"/>
  <c r="Q152" i="6"/>
  <c r="R152" i="6" s="1"/>
  <c r="Q153" i="6"/>
  <c r="R153" i="6" s="1"/>
  <c r="Q154" i="6"/>
  <c r="R154" i="6" s="1"/>
  <c r="Q155" i="6"/>
  <c r="R155" i="6" s="1"/>
  <c r="Q156" i="6"/>
  <c r="R156" i="6" s="1"/>
  <c r="Q157" i="6"/>
  <c r="R157" i="6" s="1"/>
  <c r="Q158" i="6"/>
  <c r="R158" i="6" s="1"/>
  <c r="Q159" i="6"/>
  <c r="R159" i="6" s="1"/>
  <c r="Q160" i="6"/>
  <c r="R160" i="6" s="1"/>
  <c r="Q161" i="6"/>
  <c r="R161" i="6" s="1"/>
  <c r="Q162" i="6"/>
  <c r="R162" i="6" s="1"/>
  <c r="Q163" i="6"/>
  <c r="R163" i="6" s="1"/>
  <c r="Q164" i="6"/>
  <c r="R164" i="6" s="1"/>
  <c r="Q165" i="6"/>
  <c r="R165" i="6" s="1"/>
  <c r="Q166" i="6"/>
  <c r="R166" i="6" s="1"/>
  <c r="Q167" i="6"/>
  <c r="R167" i="6" s="1"/>
  <c r="Q168" i="6"/>
  <c r="R168" i="6" s="1"/>
  <c r="Q169" i="6"/>
  <c r="R169" i="6" s="1"/>
  <c r="Q170" i="6"/>
  <c r="R170" i="6" s="1"/>
  <c r="Q171" i="6"/>
  <c r="R171" i="6" s="1"/>
  <c r="Q172" i="6"/>
  <c r="R172" i="6" s="1"/>
  <c r="Q173" i="6"/>
  <c r="R173" i="6" s="1"/>
  <c r="Q174" i="6"/>
  <c r="R174" i="6" s="1"/>
  <c r="Q175" i="6"/>
  <c r="R175" i="6" s="1"/>
  <c r="Q176" i="6"/>
  <c r="R176" i="6" s="1"/>
  <c r="Q177" i="6"/>
  <c r="R177" i="6" s="1"/>
  <c r="Q178" i="6"/>
  <c r="R178" i="6" s="1"/>
  <c r="Q179" i="6"/>
  <c r="R179" i="6" s="1"/>
  <c r="Q180" i="6"/>
  <c r="R180" i="6" s="1"/>
  <c r="Q181" i="6"/>
  <c r="R181" i="6" s="1"/>
  <c r="Q182" i="6"/>
  <c r="R182" i="6" s="1"/>
  <c r="Q183" i="6"/>
  <c r="R183" i="6" s="1"/>
  <c r="Q184" i="6"/>
  <c r="R184" i="6" s="1"/>
  <c r="Q185" i="6"/>
  <c r="R185" i="6" s="1"/>
  <c r="Q186" i="6"/>
  <c r="R186" i="6" s="1"/>
  <c r="Q187" i="6"/>
  <c r="R187" i="6" s="1"/>
  <c r="Q188" i="6"/>
  <c r="R188" i="6" s="1"/>
  <c r="Q189" i="6"/>
  <c r="R189" i="6" s="1"/>
  <c r="Q190" i="6"/>
  <c r="R190" i="6" s="1"/>
  <c r="Q191" i="6"/>
  <c r="R191" i="6" s="1"/>
  <c r="Q192" i="6"/>
  <c r="R192" i="6" s="1"/>
  <c r="Q193" i="6"/>
  <c r="R193" i="6" s="1"/>
  <c r="Q194" i="6"/>
  <c r="R194" i="6" s="1"/>
  <c r="Q195" i="6"/>
  <c r="R195" i="6" s="1"/>
  <c r="Q196" i="6"/>
  <c r="R196" i="6" s="1"/>
  <c r="Q197" i="6"/>
  <c r="R197" i="6" s="1"/>
  <c r="Q198" i="6"/>
  <c r="R198" i="6" s="1"/>
  <c r="Q199" i="6"/>
  <c r="R199" i="6" s="1"/>
  <c r="Q200" i="6"/>
  <c r="R200" i="6" s="1"/>
  <c r="Q201" i="6"/>
  <c r="R201" i="6" s="1"/>
  <c r="Q202" i="6"/>
  <c r="R202" i="6" s="1"/>
  <c r="Q203" i="6"/>
  <c r="R203" i="6" s="1"/>
  <c r="Q204" i="6"/>
  <c r="R204" i="6" s="1"/>
  <c r="Q205" i="6"/>
  <c r="R205" i="6" s="1"/>
  <c r="Q206" i="6"/>
  <c r="R206" i="6" s="1"/>
  <c r="Q207" i="6"/>
  <c r="R207" i="6" s="1"/>
  <c r="Q208" i="6"/>
  <c r="R208" i="6" s="1"/>
  <c r="Q209" i="6"/>
  <c r="R209" i="6" s="1"/>
  <c r="Q210" i="6"/>
  <c r="R210" i="6" s="1"/>
  <c r="Q211" i="6"/>
  <c r="R211" i="6" s="1"/>
  <c r="Q212" i="6"/>
  <c r="R212" i="6" s="1"/>
  <c r="Q213" i="6"/>
  <c r="R213" i="6" s="1"/>
  <c r="Q214" i="6"/>
  <c r="R214" i="6" s="1"/>
  <c r="Q215" i="6"/>
  <c r="R215" i="6" s="1"/>
  <c r="Q216" i="6"/>
  <c r="R216" i="6" s="1"/>
  <c r="Q217" i="6"/>
  <c r="R217" i="6" s="1"/>
  <c r="Q218" i="6"/>
  <c r="R218" i="6" s="1"/>
  <c r="Q219" i="6"/>
  <c r="R219" i="6" s="1"/>
  <c r="Q220" i="6"/>
  <c r="R220" i="6" s="1"/>
  <c r="Q221" i="6"/>
  <c r="R221" i="6" s="1"/>
  <c r="Q222" i="6"/>
  <c r="R222" i="6" s="1"/>
  <c r="Q223" i="6"/>
  <c r="R223" i="6" s="1"/>
  <c r="Q224" i="6"/>
  <c r="R224" i="6" s="1"/>
  <c r="Q225" i="6"/>
  <c r="R225" i="6" s="1"/>
  <c r="Q226" i="6"/>
  <c r="R226" i="6" s="1"/>
  <c r="Q227" i="6"/>
  <c r="R227" i="6" s="1"/>
  <c r="Q228" i="6"/>
  <c r="R228" i="6" s="1"/>
  <c r="Q229" i="6"/>
  <c r="R229" i="6" s="1"/>
  <c r="Q230" i="6"/>
  <c r="R230" i="6" s="1"/>
  <c r="Q231" i="6"/>
  <c r="R231" i="6" s="1"/>
  <c r="Q232" i="6"/>
  <c r="R232" i="6" s="1"/>
  <c r="Q233" i="6"/>
  <c r="R233" i="6" s="1"/>
  <c r="Q234" i="6"/>
  <c r="R234" i="6" s="1"/>
  <c r="Q235" i="6"/>
  <c r="R235" i="6" s="1"/>
  <c r="Q236" i="6"/>
  <c r="R236" i="6" s="1"/>
  <c r="Q237" i="6"/>
  <c r="R237" i="6" s="1"/>
  <c r="Q238" i="6"/>
  <c r="R238" i="6" s="1"/>
  <c r="Q239" i="6"/>
  <c r="R239" i="6" s="1"/>
  <c r="Q240" i="6"/>
  <c r="R240" i="6" s="1"/>
  <c r="Q241" i="6"/>
  <c r="R241" i="6" s="1"/>
  <c r="Q242" i="6"/>
  <c r="R242" i="6" s="1"/>
  <c r="Q243" i="6"/>
  <c r="R243" i="6" s="1"/>
  <c r="Q244" i="6"/>
  <c r="R244" i="6" s="1"/>
  <c r="Q245" i="6"/>
  <c r="R245" i="6" s="1"/>
  <c r="Q246" i="6"/>
  <c r="R246" i="6" s="1"/>
  <c r="Q247" i="6"/>
  <c r="R247" i="6" s="1"/>
  <c r="Q248" i="6"/>
  <c r="R248" i="6" s="1"/>
  <c r="Q249" i="6"/>
  <c r="R249" i="6" s="1"/>
  <c r="Q250" i="6"/>
  <c r="R250" i="6" s="1"/>
  <c r="Q251" i="6"/>
  <c r="R251" i="6" s="1"/>
  <c r="Q252" i="6"/>
  <c r="R252" i="6" s="1"/>
  <c r="Q253" i="6"/>
  <c r="R253" i="6" s="1"/>
  <c r="Q254" i="6"/>
  <c r="R254" i="6" s="1"/>
  <c r="Q255" i="6"/>
  <c r="R255" i="6" s="1"/>
  <c r="Q256" i="6"/>
  <c r="R256" i="6" s="1"/>
  <c r="Q257" i="6"/>
  <c r="R257" i="6" s="1"/>
  <c r="Q258" i="6"/>
  <c r="R258" i="6" s="1"/>
  <c r="Q259" i="6"/>
  <c r="R259" i="6" s="1"/>
  <c r="Q260" i="6"/>
  <c r="R260" i="6" s="1"/>
  <c r="Q261" i="6"/>
  <c r="R261" i="6" s="1"/>
  <c r="Q262" i="6"/>
  <c r="R262" i="6" s="1"/>
  <c r="Q263" i="6"/>
  <c r="R263" i="6" s="1"/>
  <c r="Q264" i="6"/>
  <c r="R264" i="6" s="1"/>
  <c r="Q265" i="6"/>
  <c r="R265" i="6" s="1"/>
  <c r="Q266" i="6"/>
  <c r="R266" i="6" s="1"/>
  <c r="Q267" i="6"/>
  <c r="R267" i="6" s="1"/>
  <c r="Q268" i="6"/>
  <c r="R268" i="6" s="1"/>
  <c r="Q269" i="6"/>
  <c r="R269" i="6" s="1"/>
  <c r="Q270" i="6"/>
  <c r="R270" i="6" s="1"/>
  <c r="Q271" i="6"/>
  <c r="R271" i="6" s="1"/>
  <c r="Q272" i="6"/>
  <c r="R272" i="6" s="1"/>
  <c r="Q273" i="6"/>
  <c r="R273" i="6" s="1"/>
  <c r="Q274" i="6"/>
  <c r="R274" i="6" s="1"/>
  <c r="Q275" i="6"/>
  <c r="R275" i="6" s="1"/>
  <c r="Q276" i="6"/>
  <c r="R276" i="6" s="1"/>
  <c r="Q277" i="6"/>
  <c r="R277" i="6" s="1"/>
  <c r="Q278" i="6"/>
  <c r="R278" i="6" s="1"/>
  <c r="Q279" i="6"/>
  <c r="R279" i="6" s="1"/>
  <c r="Q280" i="6"/>
  <c r="R280" i="6" s="1"/>
  <c r="Q281" i="6"/>
  <c r="R281" i="6" s="1"/>
  <c r="Q282" i="6"/>
  <c r="R282" i="6" s="1"/>
  <c r="Q283" i="6"/>
  <c r="R283" i="6" s="1"/>
  <c r="Q284" i="6"/>
  <c r="R284" i="6" s="1"/>
  <c r="D50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N13" i="9" l="1"/>
  <c r="N12" i="9"/>
  <c r="N11" i="9"/>
  <c r="N10" i="9"/>
  <c r="N9" i="9"/>
  <c r="H5" i="9"/>
</calcChain>
</file>

<file path=xl/sharedStrings.xml><?xml version="1.0" encoding="utf-8"?>
<sst xmlns="http://schemas.openxmlformats.org/spreadsheetml/2006/main" count="4877" uniqueCount="1580">
  <si>
    <t>TAB No.</t>
  </si>
  <si>
    <t>Opt</t>
  </si>
  <si>
    <t>IMEI</t>
  </si>
  <si>
    <t>Inventory Number</t>
  </si>
  <si>
    <t>Asset number</t>
  </si>
  <si>
    <t>Sim Number</t>
  </si>
  <si>
    <t>Shift</t>
  </si>
  <si>
    <t>Last OS update</t>
  </si>
  <si>
    <t>Remarks</t>
  </si>
  <si>
    <t>Repair</t>
  </si>
  <si>
    <t xml:space="preserve"> Tab 1</t>
  </si>
  <si>
    <t>Dhiraagu 10GB</t>
  </si>
  <si>
    <t>MPL-CGO-OEQ-TBLT-00039</t>
  </si>
  <si>
    <t>B Tallies</t>
  </si>
  <si>
    <t>At COD / Currently in use</t>
  </si>
  <si>
    <t>MPL14916</t>
  </si>
  <si>
    <t xml:space="preserve"> Tab 2</t>
  </si>
  <si>
    <t>MPL-CGO-OEQ-TBLT-00040</t>
  </si>
  <si>
    <t>Container Yard (25.09.2022)</t>
  </si>
  <si>
    <t>MPL14915</t>
  </si>
  <si>
    <t xml:space="preserve"> Tab 3</t>
  </si>
  <si>
    <t>MPL-CGO-OEQ-TBLT-00041</t>
  </si>
  <si>
    <t>C Tallies</t>
  </si>
  <si>
    <t>31.1.2022</t>
  </si>
  <si>
    <t>Battery Replaced 11.12.2024</t>
  </si>
  <si>
    <t>MPL14914</t>
  </si>
  <si>
    <t xml:space="preserve"> Tab 4</t>
  </si>
  <si>
    <t>MPL-CGO-OEQ-TBLT-00042</t>
  </si>
  <si>
    <t>Container Yard (01.06.2021)</t>
  </si>
  <si>
    <t>MPL14913</t>
  </si>
  <si>
    <t xml:space="preserve"> Tab 5</t>
  </si>
  <si>
    <t>MPL-CGO-OEQ-TBLT-00043</t>
  </si>
  <si>
    <t>MPL14912</t>
  </si>
  <si>
    <t xml:space="preserve"> Tab 6</t>
  </si>
  <si>
    <t>MPL-CGO-OEQ-TBLT-00044</t>
  </si>
  <si>
    <t>Use in HMT(sent on 23.05.2021)</t>
  </si>
  <si>
    <t>MPL14911</t>
  </si>
  <si>
    <t xml:space="preserve"> Tab 7</t>
  </si>
  <si>
    <t>MPL-CGO-OEQ-TBLT-00045</t>
  </si>
  <si>
    <t>MPL14910</t>
  </si>
  <si>
    <t xml:space="preserve"> Tab 8</t>
  </si>
  <si>
    <t>MPL-CGO-OEQ-TBLT-00046</t>
  </si>
  <si>
    <t>A Tallies</t>
  </si>
  <si>
    <t>MPL14909</t>
  </si>
  <si>
    <t xml:space="preserve"> Tab 9</t>
  </si>
  <si>
    <t>MPL-CGO-OEQ-TBLT-00047</t>
  </si>
  <si>
    <t>MPL14908</t>
  </si>
  <si>
    <t xml:space="preserve"> Tab 10</t>
  </si>
  <si>
    <t>MPL-CGO-OEQ-TBLT-00048</t>
  </si>
  <si>
    <t>Yard Office (21.04.2021)</t>
  </si>
  <si>
    <t>MPL14907</t>
  </si>
  <si>
    <t xml:space="preserve"> Tab 11</t>
  </si>
  <si>
    <t>MPL-CGO-OEQ-TBLT-00051</t>
  </si>
  <si>
    <t>MPL14906</t>
  </si>
  <si>
    <t xml:space="preserve"> Tab 12</t>
  </si>
  <si>
    <t>MPL-CGO-OEQ-TBLT-00052</t>
  </si>
  <si>
    <t>At IT (Tab back light issue) - Given to IT for Repair</t>
  </si>
  <si>
    <t>MPL14905</t>
  </si>
  <si>
    <t xml:space="preserve"> Tab 13</t>
  </si>
  <si>
    <t>MPL-CGO-OEQ-TBLT-00053</t>
  </si>
  <si>
    <t>HMT (13.03.2025)</t>
  </si>
  <si>
    <t>At COD / Currently in use, HMT 13.03.2025</t>
  </si>
  <si>
    <t>MPL14904</t>
  </si>
  <si>
    <t xml:space="preserve"> Tab 14</t>
  </si>
  <si>
    <t>MPL-CGO-OEQ-TBLT-00050</t>
  </si>
  <si>
    <t>MPL14903</t>
  </si>
  <si>
    <t xml:space="preserve"> Tab 15</t>
  </si>
  <si>
    <t>MPL-CGO-OEQ-TBLT-00049</t>
  </si>
  <si>
    <t>MPL14902</t>
  </si>
  <si>
    <t xml:space="preserve"> Tab 16</t>
  </si>
  <si>
    <t>MPL12613</t>
  </si>
  <si>
    <t>MPL-CGO-OEQ-TBLT-00064</t>
  </si>
  <si>
    <t>MPL12607</t>
  </si>
  <si>
    <t xml:space="preserve"> Tab 17</t>
  </si>
  <si>
    <t>MPL12621</t>
  </si>
  <si>
    <t>MPL-CGO-OEQ-TBLT-00072</t>
  </si>
  <si>
    <t>MPL12608</t>
  </si>
  <si>
    <t xml:space="preserve"> Tab 18</t>
  </si>
  <si>
    <t>MPL12616</t>
  </si>
  <si>
    <t>MPL-CGO-OEQ-TBLT-00067</t>
  </si>
  <si>
    <t>MPL12609</t>
  </si>
  <si>
    <t xml:space="preserve"> Tab 19</t>
  </si>
  <si>
    <t>MPL12619</t>
  </si>
  <si>
    <t>MPL-CGO-OEQ-TBLT-00070</t>
  </si>
  <si>
    <t>MPL12610</t>
  </si>
  <si>
    <t xml:space="preserve"> Tab 20</t>
  </si>
  <si>
    <t>MPL12628</t>
  </si>
  <si>
    <t>MPL-CGO-OEQ-TBLT-00079</t>
  </si>
  <si>
    <t>MPL12611</t>
  </si>
  <si>
    <t xml:space="preserve"> Tab 21</t>
  </si>
  <si>
    <t>MPL12627</t>
  </si>
  <si>
    <t>MPL-CGO-OEQ-TBLT-00078</t>
  </si>
  <si>
    <t xml:space="preserve"> </t>
  </si>
  <si>
    <t>MPL12612</t>
  </si>
  <si>
    <t xml:space="preserve"> Tab 22</t>
  </si>
  <si>
    <t>MPL12629</t>
  </si>
  <si>
    <t>MPL-CGO-OEQ-TBLT-00080</t>
  </si>
  <si>
    <t xml:space="preserve"> Tab 23</t>
  </si>
  <si>
    <t>MPL-CGO-OEQ-TBLT-00063</t>
  </si>
  <si>
    <t>MPL12614</t>
  </si>
  <si>
    <t xml:space="preserve"> Tab 24</t>
  </si>
  <si>
    <t>MPL-CGO-OEQ-TBLT-00062</t>
  </si>
  <si>
    <t>HMT 13.03.2025</t>
  </si>
  <si>
    <t>MPL12615</t>
  </si>
  <si>
    <t xml:space="preserve"> Tab 25</t>
  </si>
  <si>
    <t>MPL12631</t>
  </si>
  <si>
    <t>MPL-CGO-OEQ-TBLT-00082</t>
  </si>
  <si>
    <t xml:space="preserve"> Tab 26</t>
  </si>
  <si>
    <t>MPL-CGO-OEQ-TBLT-00065</t>
  </si>
  <si>
    <t>MPL12617</t>
  </si>
  <si>
    <t xml:space="preserve"> Tab 27</t>
  </si>
  <si>
    <t>MPL12622</t>
  </si>
  <si>
    <t>MPL-CGO-OEQ-TBLT-00073</t>
  </si>
  <si>
    <t>MPL12618</t>
  </si>
  <si>
    <t xml:space="preserve"> Tab 28</t>
  </si>
  <si>
    <t>MPL12623</t>
  </si>
  <si>
    <t>MPL-CGO-OEQ-TBLT-00074</t>
  </si>
  <si>
    <t xml:space="preserve"> Tab 29</t>
  </si>
  <si>
    <t>MPL-CGO-OEQ-TBLT-00066</t>
  </si>
  <si>
    <t>MPL12620</t>
  </si>
  <si>
    <t xml:space="preserve"> Tab 30</t>
  </si>
  <si>
    <t>MPL-CGO-OEQ-TBLT-00069</t>
  </si>
  <si>
    <t>1589 7592</t>
  </si>
  <si>
    <t xml:space="preserve"> Tab 31</t>
  </si>
  <si>
    <t>Ooredoo 10GB</t>
  </si>
  <si>
    <t>MPL12624</t>
  </si>
  <si>
    <t>MPL-CGO-OEQ-TBLT-00075</t>
  </si>
  <si>
    <t>Use in HMT(sent on 09.12.2021)</t>
  </si>
  <si>
    <t xml:space="preserve"> Tab 32</t>
  </si>
  <si>
    <t>MPL12626</t>
  </si>
  <si>
    <t>MPL-CGO-OEQ-TBLT-00077</t>
  </si>
  <si>
    <t xml:space="preserve"> Tab 33</t>
  </si>
  <si>
    <t>MPL-CGO-OEQ-TBLT-00061</t>
  </si>
  <si>
    <t>Marine Craft - Raazy</t>
  </si>
  <si>
    <t>MPL12625</t>
  </si>
  <si>
    <t xml:space="preserve"> Tab 34</t>
  </si>
  <si>
    <t>MPL-CGO-OEQ-TBLT-00071</t>
  </si>
  <si>
    <t xml:space="preserve"> Tab 35</t>
  </si>
  <si>
    <t>MPL-CGO-OEQ-TBLT-00068</t>
  </si>
  <si>
    <t xml:space="preserve"> Tab 36</t>
  </si>
  <si>
    <t>MPL12633</t>
  </si>
  <si>
    <t>MPL-CGO-OEQ-TBLT-00084</t>
  </si>
  <si>
    <t xml:space="preserve"> Tab 37</t>
  </si>
  <si>
    <t>MPL12630</t>
  </si>
  <si>
    <t>MPL-CGO-OEQ-TBLT-00081</t>
  </si>
  <si>
    <t xml:space="preserve"> Tab 38</t>
  </si>
  <si>
    <t>MPL-CGO-OEQ-TBLT-00076</t>
  </si>
  <si>
    <t xml:space="preserve"> Tab 39</t>
  </si>
  <si>
    <t>MPL12632</t>
  </si>
  <si>
    <t>MPL-CGO-OEQ-TBLT-00083</t>
  </si>
  <si>
    <t xml:space="preserve"> Tab 40</t>
  </si>
  <si>
    <t>MPL-CGO-OEQ-TBLT-00060</t>
  </si>
  <si>
    <t xml:space="preserve"> Tab 41</t>
  </si>
  <si>
    <t>MPL-CGO-OEQ-TBLT-00058</t>
  </si>
  <si>
    <t>MPL12634</t>
  </si>
  <si>
    <t xml:space="preserve"> Tab 42</t>
  </si>
  <si>
    <t>MPL12636</t>
  </si>
  <si>
    <t>MPL-CGO-OEQ-TBLT-00087</t>
  </si>
  <si>
    <t>MPL12635</t>
  </si>
  <si>
    <t xml:space="preserve"> Tab 43</t>
  </si>
  <si>
    <t>MPL-CGO-OEQ-TBLT-00086</t>
  </si>
  <si>
    <t xml:space="preserve"> Tab 44</t>
  </si>
  <si>
    <t>MPL-CGO-OEQ-TBLT-00059</t>
  </si>
  <si>
    <t xml:space="preserve"> Tab 45</t>
  </si>
  <si>
    <t>MPL-CGO-OEQ-TBLT-00085</t>
  </si>
  <si>
    <t>ITD-TAB001</t>
  </si>
  <si>
    <t>ITDTAB0035</t>
  </si>
  <si>
    <t>C Tallies - 13.03.2025</t>
  </si>
  <si>
    <t>Container Yard</t>
  </si>
  <si>
    <t>Use in HMT</t>
  </si>
  <si>
    <t>Marine Craft</t>
  </si>
  <si>
    <t>Damaged</t>
  </si>
  <si>
    <t>#</t>
  </si>
  <si>
    <t>Sim No.</t>
  </si>
  <si>
    <t>Location</t>
  </si>
  <si>
    <t>COD TAB041</t>
  </si>
  <si>
    <t>1675 4963</t>
  </si>
  <si>
    <t>MPL21841</t>
  </si>
  <si>
    <t>A</t>
  </si>
  <si>
    <t>COD TAB050</t>
  </si>
  <si>
    <t>1675 4953</t>
  </si>
  <si>
    <t>MPL21850</t>
  </si>
  <si>
    <t>COD TAB051</t>
  </si>
  <si>
    <t>1675 4962</t>
  </si>
  <si>
    <t>MPL21851</t>
  </si>
  <si>
    <t>COD TAB032</t>
  </si>
  <si>
    <t>1675 4957</t>
  </si>
  <si>
    <t>MPL21845</t>
  </si>
  <si>
    <t>B</t>
  </si>
  <si>
    <t>COD TAB037</t>
  </si>
  <si>
    <t>1675 4956</t>
  </si>
  <si>
    <t>MPL21837</t>
  </si>
  <si>
    <t>COD TAB044</t>
  </si>
  <si>
    <t>1675 4959</t>
  </si>
  <si>
    <t>MPL21844</t>
  </si>
  <si>
    <t>COD TAB034</t>
  </si>
  <si>
    <t>1675 4958</t>
  </si>
  <si>
    <t>MPL21834</t>
  </si>
  <si>
    <t>C</t>
  </si>
  <si>
    <t>COD TAB035</t>
  </si>
  <si>
    <t>1675 4955</t>
  </si>
  <si>
    <t>MPL21835</t>
  </si>
  <si>
    <t>COD TAB039</t>
  </si>
  <si>
    <t>1675 4961</t>
  </si>
  <si>
    <t>MPL21839</t>
  </si>
  <si>
    <t>COD TAB033</t>
  </si>
  <si>
    <t>Dhiraagu 20GB</t>
  </si>
  <si>
    <t>MPL21833</t>
  </si>
  <si>
    <t>C-Yard</t>
  </si>
  <si>
    <t>11.02.2026</t>
  </si>
  <si>
    <t>COD TAB036</t>
  </si>
  <si>
    <t>MPL21836</t>
  </si>
  <si>
    <t>14.03.2026</t>
  </si>
  <si>
    <t>COD TAB046</t>
  </si>
  <si>
    <t>1603 4966</t>
  </si>
  <si>
    <t>MPL21846</t>
  </si>
  <si>
    <t>COD TAB047</t>
  </si>
  <si>
    <t>1603 4964</t>
  </si>
  <si>
    <t>MPL21852</t>
  </si>
  <si>
    <t>COD TAB049</t>
  </si>
  <si>
    <t>1675 4954</t>
  </si>
  <si>
    <t>MPL21849</t>
  </si>
  <si>
    <t>C-Yard - Thilafushi</t>
  </si>
  <si>
    <t>25.4.2026</t>
  </si>
  <si>
    <t>COD TAB040</t>
  </si>
  <si>
    <t>MPL21840</t>
  </si>
  <si>
    <t>HMT - 31.05.25</t>
  </si>
  <si>
    <t>COD TAB043</t>
  </si>
  <si>
    <t>MPL21843</t>
  </si>
  <si>
    <t>COD TAB045</t>
  </si>
  <si>
    <t>MPL21847</t>
  </si>
  <si>
    <t>COD TAB048</t>
  </si>
  <si>
    <t>MPL21848</t>
  </si>
  <si>
    <t>COD TAB042</t>
  </si>
  <si>
    <t>1654 6160</t>
  </si>
  <si>
    <t>Received without Charger</t>
  </si>
  <si>
    <t>COD TAB038</t>
  </si>
  <si>
    <t>1654 6458</t>
  </si>
  <si>
    <t>MPL21842</t>
  </si>
  <si>
    <t>LOCAL CODE</t>
  </si>
  <si>
    <t>MPL CODE</t>
  </si>
  <si>
    <t>BRAND</t>
  </si>
  <si>
    <t>SERIAL NO</t>
  </si>
  <si>
    <t>UNIT</t>
  </si>
  <si>
    <t>MCH/ HIT</t>
  </si>
  <si>
    <t>MPL-CGO-OEQ-VHFS-00682</t>
  </si>
  <si>
    <t>MPL12967</t>
  </si>
  <si>
    <t>MOTROLA</t>
  </si>
  <si>
    <t>752TXFV269</t>
  </si>
  <si>
    <t>A shift</t>
  </si>
  <si>
    <t>POD-MCH</t>
  </si>
  <si>
    <t>MPL-CGO-OEQ-VHFS-00683</t>
  </si>
  <si>
    <t>MPL12968</t>
  </si>
  <si>
    <t>752TXFF928</t>
  </si>
  <si>
    <t>MPL-CGO-OEQ-VHFS-00684</t>
  </si>
  <si>
    <t>MPL12969</t>
  </si>
  <si>
    <t>752TXFF492</t>
  </si>
  <si>
    <t>MPL-CGO-OEQ-VHFS-00685</t>
  </si>
  <si>
    <t>MPL12970</t>
  </si>
  <si>
    <t>752TXFF667</t>
  </si>
  <si>
    <t>MPL-CGO-OEQ-VHFS-00686</t>
  </si>
  <si>
    <t>MPL12971</t>
  </si>
  <si>
    <t>752TXFF613</t>
  </si>
  <si>
    <t>MPL-CGO-OEQ-VHFS-00687</t>
  </si>
  <si>
    <t>MPL12972</t>
  </si>
  <si>
    <t>752TXFV213</t>
  </si>
  <si>
    <t>MPL-CGO-OEQ-VHFS-00689</t>
  </si>
  <si>
    <t>MPL12974</t>
  </si>
  <si>
    <t>752TXFF844</t>
  </si>
  <si>
    <t>MPL-CGO-OEQ-VHFS- 00718</t>
  </si>
  <si>
    <t>MPL13003</t>
  </si>
  <si>
    <t>752TXFF784</t>
  </si>
  <si>
    <t>MPL-CGO-OEQ-VHFS- 00720</t>
  </si>
  <si>
    <t>MPL13005</t>
  </si>
  <si>
    <t>752TXFF773</t>
  </si>
  <si>
    <t>MPL-CGO-OEQ-VHFS- 00727</t>
  </si>
  <si>
    <t>MPL13012</t>
  </si>
  <si>
    <t>752TXFF412</t>
  </si>
  <si>
    <t>MPL-CGO-OEQ-VHFS- 00729</t>
  </si>
  <si>
    <t>MPL13014</t>
  </si>
  <si>
    <t>752TXFF938</t>
  </si>
  <si>
    <t>MPL-CGO-OEQ-VHFS- 00734</t>
  </si>
  <si>
    <t>MPL13019</t>
  </si>
  <si>
    <t>752TXFF918</t>
  </si>
  <si>
    <t>MALE-COL-COG-NA-NA</t>
  </si>
  <si>
    <t>MPL14890</t>
  </si>
  <si>
    <t>VHF SETS (MOTROLA - XIR P3688</t>
  </si>
  <si>
    <t>752EZKC888</t>
  </si>
  <si>
    <t>MPL14896</t>
  </si>
  <si>
    <t>752EZKC819</t>
  </si>
  <si>
    <t> </t>
  </si>
  <si>
    <t>MOTOROLA</t>
  </si>
  <si>
    <t>752TUM3420</t>
  </si>
  <si>
    <t>MPL-CGO-OEQ-VHFS-00691</t>
  </si>
  <si>
    <t>MPL12976</t>
  </si>
  <si>
    <t>752TXFF526</t>
  </si>
  <si>
    <t>B shift</t>
  </si>
  <si>
    <t>MPL-CGO-OEQ-VHFS-00692</t>
  </si>
  <si>
    <t>MPL12977</t>
  </si>
  <si>
    <t>752TXFF607</t>
  </si>
  <si>
    <t>MPL-CGO-OEQ-VHFS-00693</t>
  </si>
  <si>
    <t>MPL12978</t>
  </si>
  <si>
    <t>752TXFF742</t>
  </si>
  <si>
    <t>MPL-CGO-OEQ-VHFS-00695</t>
  </si>
  <si>
    <t>MPL12980</t>
  </si>
  <si>
    <t>752TXFV184</t>
  </si>
  <si>
    <t>MPL-CGO-OEQ-VHFS-00697</t>
  </si>
  <si>
    <t>MPL12982</t>
  </si>
  <si>
    <t>752TXFV207</t>
  </si>
  <si>
    <t>MPL-CGO-OEQ-VHFS- 00714</t>
  </si>
  <si>
    <t>MPL12999</t>
  </si>
  <si>
    <t>752TXFF709</t>
  </si>
  <si>
    <t>MPL-CGO-OEQ-VHFS- 00715</t>
  </si>
  <si>
    <t>MPL13000</t>
  </si>
  <si>
    <t>752TXFF898</t>
  </si>
  <si>
    <t>MPL-CGO-OEQ-VHFS- 00716</t>
  </si>
  <si>
    <t>MPL13001</t>
  </si>
  <si>
    <t>752TXFF856</t>
  </si>
  <si>
    <t>MPL14898</t>
  </si>
  <si>
    <t>752EZKC778</t>
  </si>
  <si>
    <t>MPL14894</t>
  </si>
  <si>
    <t>752EZKC844</t>
  </si>
  <si>
    <t>MPL14889</t>
  </si>
  <si>
    <t>752EZKC970</t>
  </si>
  <si>
    <t>752TUM2786</t>
  </si>
  <si>
    <t>752TUM2784</t>
  </si>
  <si>
    <t>752TUM3568</t>
  </si>
  <si>
    <t>752TUM2705</t>
  </si>
  <si>
    <t>MPL-CGO-OEQ-VHFS-00698</t>
  </si>
  <si>
    <t>MPL12983</t>
  </si>
  <si>
    <t>752TXFF733</t>
  </si>
  <si>
    <t>C shift</t>
  </si>
  <si>
    <t>MPL-CGO-OEQ-VHFS- 00700</t>
  </si>
  <si>
    <t>MPL12985</t>
  </si>
  <si>
    <t>752TXFF935</t>
  </si>
  <si>
    <t>MPL-CGO-OEQ-VHFS- 00701</t>
  </si>
  <si>
    <t>MPL12986</t>
  </si>
  <si>
    <t>752TXFF746</t>
  </si>
  <si>
    <t>MPL-CGO-OEQ-VHFS- 00702</t>
  </si>
  <si>
    <t>MPL12987</t>
  </si>
  <si>
    <t>752TXFV160</t>
  </si>
  <si>
    <t>MPL-CGO-OEQ-VHFS- 00703</t>
  </si>
  <si>
    <t>MPL12988</t>
  </si>
  <si>
    <t>752TXFU891</t>
  </si>
  <si>
    <t>MPL-CGO-OEQ-VHFS- 00704</t>
  </si>
  <si>
    <t>MPL12989</t>
  </si>
  <si>
    <t>752TVHM460</t>
  </si>
  <si>
    <t>MPL-CGO-OEQ-VHFS- 00705</t>
  </si>
  <si>
    <t>MPL12990</t>
  </si>
  <si>
    <t>752TUM3227</t>
  </si>
  <si>
    <t>MPL-CGO-OEQ-VHFS- 00723</t>
  </si>
  <si>
    <t>MPL13008</t>
  </si>
  <si>
    <t>752TXFF640</t>
  </si>
  <si>
    <t>MPL-CGO-OEQ-VHFS- 00724</t>
  </si>
  <si>
    <t>MPL13009</t>
  </si>
  <si>
    <t>752TXFF554</t>
  </si>
  <si>
    <t>MPL-CGO-OEQ-VHFS- 00725</t>
  </si>
  <si>
    <t>MPL13010</t>
  </si>
  <si>
    <t>752TXFF408</t>
  </si>
  <si>
    <t>MPL-CGO-OEQ-VHFS- 00726</t>
  </si>
  <si>
    <t>MPL13011</t>
  </si>
  <si>
    <t>752TXFF439</t>
  </si>
  <si>
    <t>MPL14893</t>
  </si>
  <si>
    <t>752EZKC846</t>
  </si>
  <si>
    <t>752E2KC828</t>
  </si>
  <si>
    <t>546TSK6264</t>
  </si>
  <si>
    <t>546TUR8553</t>
  </si>
  <si>
    <t>546TURB643</t>
  </si>
  <si>
    <t>MPL-CGO-OEQ-VHFS-00690</t>
  </si>
  <si>
    <t>MPL12975</t>
  </si>
  <si>
    <t>752TXFF921</t>
  </si>
  <si>
    <t>546TURB565</t>
  </si>
  <si>
    <t>546TSK5993</t>
  </si>
  <si>
    <t>546TURB583</t>
  </si>
  <si>
    <t>546TURB591</t>
  </si>
  <si>
    <t>546TURB561</t>
  </si>
  <si>
    <t>546TURB555</t>
  </si>
  <si>
    <t>MPL-CGO-OEQ-VHFS- 00731</t>
  </si>
  <si>
    <t>MPL13016</t>
  </si>
  <si>
    <t>752TXFH243</t>
  </si>
  <si>
    <t>Gear Store</t>
  </si>
  <si>
    <t>752TXFF582</t>
  </si>
  <si>
    <t>HMT</t>
  </si>
  <si>
    <t>POD-HMT</t>
  </si>
  <si>
    <t>752TXFF652</t>
  </si>
  <si>
    <t>752TXFF655</t>
  </si>
  <si>
    <t>752TXFF469</t>
  </si>
  <si>
    <t>752TVKX258</t>
  </si>
  <si>
    <t>752TUM3357</t>
  </si>
  <si>
    <t>752TXFF454</t>
  </si>
  <si>
    <t>752TXT9838</t>
  </si>
  <si>
    <t>MPL06652</t>
  </si>
  <si>
    <t>MPL03742</t>
  </si>
  <si>
    <t>MPL14871</t>
  </si>
  <si>
    <t>752EZMJ742</t>
  </si>
  <si>
    <t>MPL14888</t>
  </si>
  <si>
    <t>752EZKC971</t>
  </si>
  <si>
    <t>In stock</t>
  </si>
  <si>
    <t>POD-MCH - Damaged clicker</t>
  </si>
  <si>
    <t>MPL14887</t>
  </si>
  <si>
    <t>752EZKC974</t>
  </si>
  <si>
    <t>C-Shift - 14.06.25</t>
  </si>
  <si>
    <t>MPL14886</t>
  </si>
  <si>
    <t>752EZKC999</t>
  </si>
  <si>
    <t>MPL14885</t>
  </si>
  <si>
    <t>752EZKD007</t>
  </si>
  <si>
    <t>MPL14884</t>
  </si>
  <si>
    <t>752EZKD012</t>
  </si>
  <si>
    <t>MPL14883</t>
  </si>
  <si>
    <t>752EZKD032</t>
  </si>
  <si>
    <t>B-Shift - 14.06.25</t>
  </si>
  <si>
    <t>MCH</t>
  </si>
  <si>
    <t>MPL14882</t>
  </si>
  <si>
    <t>752EZKD054</t>
  </si>
  <si>
    <t>MPL14881</t>
  </si>
  <si>
    <t>752EZKD065</t>
  </si>
  <si>
    <t>MPL14880</t>
  </si>
  <si>
    <t>752EZMH069</t>
  </si>
  <si>
    <t>MPL14879</t>
  </si>
  <si>
    <t>752EZMH108</t>
  </si>
  <si>
    <t>MPL14878</t>
  </si>
  <si>
    <t>752EZMJ606</t>
  </si>
  <si>
    <t>MPL14877</t>
  </si>
  <si>
    <t>752EZMJ667</t>
  </si>
  <si>
    <t>MPL14876</t>
  </si>
  <si>
    <t>752EZMJ678</t>
  </si>
  <si>
    <t>MPL14875</t>
  </si>
  <si>
    <t>752EZMJ688</t>
  </si>
  <si>
    <t>MPL14874</t>
  </si>
  <si>
    <t>752EZMJ690</t>
  </si>
  <si>
    <t>MPL14872</t>
  </si>
  <si>
    <t>752EZMJ728</t>
  </si>
  <si>
    <t>MPL14869</t>
  </si>
  <si>
    <t>752EZMJ762</t>
  </si>
  <si>
    <t>MPL-CGO-OEQ-VHFS- 00739</t>
  </si>
  <si>
    <t>MPL13024</t>
  </si>
  <si>
    <t>752TXFF490</t>
  </si>
  <si>
    <t>MCD</t>
  </si>
  <si>
    <t>MPL-CGO-OEQ-VHFS- 00740</t>
  </si>
  <si>
    <t>MPL13025</t>
  </si>
  <si>
    <t>752TXFF458</t>
  </si>
  <si>
    <t>MPL-CGO-OEQ-VHFS- 00741</t>
  </si>
  <si>
    <t>MPL13026</t>
  </si>
  <si>
    <t>752TXFF589</t>
  </si>
  <si>
    <t>MPL-CGO-OEQ-VHFS- 00711</t>
  </si>
  <si>
    <t>MPL12996</t>
  </si>
  <si>
    <t>752TXFU899</t>
  </si>
  <si>
    <t>POD - Office</t>
  </si>
  <si>
    <t>MPL-CGO-OEQ-VHFS- 00712</t>
  </si>
  <si>
    <t>MPL12997</t>
  </si>
  <si>
    <t>752TXFF528</t>
  </si>
  <si>
    <t>Vertex Standard (Bass Station)</t>
  </si>
  <si>
    <t>4B7K260038</t>
  </si>
  <si>
    <t>1MB52441</t>
  </si>
  <si>
    <t>546TURB564</t>
  </si>
  <si>
    <t>Inventoy Number</t>
  </si>
  <si>
    <t>Location (Office/Yard)</t>
  </si>
  <si>
    <t>In use (Yard IC/Formans/Tally/Stevedore/Ops mathi)</t>
  </si>
  <si>
    <t>Number of Monitors</t>
  </si>
  <si>
    <t>Office</t>
  </si>
  <si>
    <t>Shafraz</t>
  </si>
  <si>
    <t>C - 07.07.2026</t>
  </si>
  <si>
    <t>SERIALNO</t>
  </si>
  <si>
    <t>MPLCODE</t>
  </si>
  <si>
    <t>546TURB655</t>
  </si>
  <si>
    <t>MPL11511</t>
  </si>
  <si>
    <t>546TURB954</t>
  </si>
  <si>
    <t>MPL11512</t>
  </si>
  <si>
    <t>752TUM3432</t>
  </si>
  <si>
    <t>752TUM3639</t>
  </si>
  <si>
    <t>MPL06654</t>
  </si>
  <si>
    <t>752TUM3497</t>
  </si>
  <si>
    <t>MPL06657</t>
  </si>
  <si>
    <t>752TUM3530</t>
  </si>
  <si>
    <t>MPL06658</t>
  </si>
  <si>
    <t>672TNWM778</t>
  </si>
  <si>
    <t>MPL07206</t>
  </si>
  <si>
    <t>546TUR8565</t>
  </si>
  <si>
    <t>546TUR8561</t>
  </si>
  <si>
    <t>546TUR8591</t>
  </si>
  <si>
    <t>546TUR8583</t>
  </si>
  <si>
    <t>546TUR8667</t>
  </si>
  <si>
    <t>546TUR8640</t>
  </si>
  <si>
    <t>546TUR8634</t>
  </si>
  <si>
    <t>546TURB556</t>
  </si>
  <si>
    <t>546TURB605</t>
  </si>
  <si>
    <t>546TURB558</t>
  </si>
  <si>
    <t>546TURB649</t>
  </si>
  <si>
    <t>7064PDG08</t>
  </si>
  <si>
    <t>MPL11929</t>
  </si>
  <si>
    <t>672TGZ9845</t>
  </si>
  <si>
    <t>MPL11930</t>
  </si>
  <si>
    <t>752TUM3556</t>
  </si>
  <si>
    <t>MPL06667</t>
  </si>
  <si>
    <t>752TUM2947</t>
  </si>
  <si>
    <t>MPL06664</t>
  </si>
  <si>
    <t>752TUM2902</t>
  </si>
  <si>
    <t>MPL06662</t>
  </si>
  <si>
    <t>752TUM2956</t>
  </si>
  <si>
    <t>MPL06666</t>
  </si>
  <si>
    <t>WPLN4137BR</t>
  </si>
  <si>
    <t>MPL06665</t>
  </si>
  <si>
    <t>MPL06663</t>
  </si>
  <si>
    <t>546TUR8643</t>
  </si>
  <si>
    <t>752TUM3390</t>
  </si>
  <si>
    <t>MPL06651</t>
  </si>
  <si>
    <t>752TUM2775</t>
  </si>
  <si>
    <t>MPL06674</t>
  </si>
  <si>
    <t>752TUM2722</t>
  </si>
  <si>
    <t>MPL06673</t>
  </si>
  <si>
    <t>752TUM2709</t>
  </si>
  <si>
    <t>MPL06672</t>
  </si>
  <si>
    <t>546TUR8566</t>
  </si>
  <si>
    <t>546TUR8564</t>
  </si>
  <si>
    <t>546TSK2244</t>
  </si>
  <si>
    <t>752TUM2941</t>
  </si>
  <si>
    <t>MPL06676</t>
  </si>
  <si>
    <t>752TXFF880</t>
  </si>
  <si>
    <t>MPL-CGO-OEQ-VHFS-00688</t>
  </si>
  <si>
    <t>MPL12973</t>
  </si>
  <si>
    <t>COD</t>
  </si>
  <si>
    <t>752TXFF897</t>
  </si>
  <si>
    <t>MPL-CGO-OEQ-VHFS-00694</t>
  </si>
  <si>
    <t>MPL12979</t>
  </si>
  <si>
    <t>752TXFF638</t>
  </si>
  <si>
    <t>MPL-CGO-OEQ-VHFS-00696</t>
  </si>
  <si>
    <t>MPL12981</t>
  </si>
  <si>
    <t>752TXFV137</t>
  </si>
  <si>
    <t>MPL-CGO-OEQ-VHFS-00699</t>
  </si>
  <si>
    <t>MPL12984</t>
  </si>
  <si>
    <t>752TXFU909</t>
  </si>
  <si>
    <t>MPL-CGO-OEQ-VHFS- 00706</t>
  </si>
  <si>
    <t>MPL12991</t>
  </si>
  <si>
    <t xml:space="preserve">Tally </t>
  </si>
  <si>
    <t>752TXFF671</t>
  </si>
  <si>
    <t>MPL-CGO-OEQ-VHFS- 00707</t>
  </si>
  <si>
    <t>MPL12992</t>
  </si>
  <si>
    <t>COD- CY</t>
  </si>
  <si>
    <t>752TXFV052</t>
  </si>
  <si>
    <t>MPL-CGO-OEQ-VHFS- 00708</t>
  </si>
  <si>
    <t>MPL12993</t>
  </si>
  <si>
    <t>752TXFF769</t>
  </si>
  <si>
    <t>MPL-CGO-OEQ-VHFS- 00717</t>
  </si>
  <si>
    <t>MPL13002</t>
  </si>
  <si>
    <t>752TXFF653</t>
  </si>
  <si>
    <t>MPL-CGO-OEQ-VHFS- 00719</t>
  </si>
  <si>
    <t>MPL13004</t>
  </si>
  <si>
    <t>752TXFF870</t>
  </si>
  <si>
    <t>MPL-CGO-OEQ-VHFS- 00721</t>
  </si>
  <si>
    <t>MPL13006</t>
  </si>
  <si>
    <t>752TXFF645</t>
  </si>
  <si>
    <t>MPL-CGO-OEQ-VHFS- 00722</t>
  </si>
  <si>
    <t>MPL13007</t>
  </si>
  <si>
    <t xml:space="preserve">C Shift </t>
  </si>
  <si>
    <t>752TXFF543</t>
  </si>
  <si>
    <t>MPL-CGO-OEQ-VHFS- 00728</t>
  </si>
  <si>
    <t>MPL13013</t>
  </si>
  <si>
    <t>752TXFF440</t>
  </si>
  <si>
    <t>MPL-CGO-OEQ-VHFS- 00730</t>
  </si>
  <si>
    <t>MPL13015</t>
  </si>
  <si>
    <t>752TXFF924</t>
  </si>
  <si>
    <t>MPL-CGO-OEQ-VHFS- 00732</t>
  </si>
  <si>
    <t>MPL13017</t>
  </si>
  <si>
    <t>752TXFF548</t>
  </si>
  <si>
    <t>MPL-CGO-OEQ-VHFS- 00735</t>
  </si>
  <si>
    <t>MPL13020</t>
  </si>
  <si>
    <t>MPL14897</t>
  </si>
  <si>
    <t>MPL14895</t>
  </si>
  <si>
    <t>MPL14892</t>
  </si>
  <si>
    <t>MPL14891</t>
  </si>
  <si>
    <t>MPL14873</t>
  </si>
  <si>
    <t>672TGH5679</t>
  </si>
  <si>
    <t>MPL07198</t>
  </si>
  <si>
    <t>672TGG9517</t>
  </si>
  <si>
    <t>MPL07185</t>
  </si>
  <si>
    <t>672TGG9515</t>
  </si>
  <si>
    <t>MPL-CGO-OEQ-VHFS-00272</t>
  </si>
  <si>
    <t>MPL0713</t>
  </si>
  <si>
    <t>672TGG9519</t>
  </si>
  <si>
    <t>MPL-CGO-OEQ-VHFS-00208</t>
  </si>
  <si>
    <t>MPL07178</t>
  </si>
  <si>
    <t>CONTAINER YARD</t>
  </si>
  <si>
    <t>672QJ9443</t>
  </si>
  <si>
    <t>MPL07362</t>
  </si>
  <si>
    <t>672TGG956</t>
  </si>
  <si>
    <t>672TJS9991</t>
  </si>
  <si>
    <t>MPA-CGO-OEQ-VHFS-093</t>
  </si>
  <si>
    <t>CARGO OFFICE</t>
  </si>
  <si>
    <t>672TGH5717</t>
  </si>
  <si>
    <t>MPA-CGO-OEQ-VHFS-00335</t>
  </si>
  <si>
    <t>MPL07175</t>
  </si>
  <si>
    <t>672TGSF614</t>
  </si>
  <si>
    <t>MPA-CLN-OEQ-VHFS-0091</t>
  </si>
  <si>
    <t>672TQ9465</t>
  </si>
  <si>
    <t>MPA-CGO-OEQ-VHFS-00271</t>
  </si>
  <si>
    <t>MPL07186</t>
  </si>
  <si>
    <t>682TGH5694</t>
  </si>
  <si>
    <t>MPA-CGO-OEQ-VHFS-00326</t>
  </si>
  <si>
    <t>682TGH5666</t>
  </si>
  <si>
    <t>MPA-CGO-OEQ-VHFS-00337</t>
  </si>
  <si>
    <t>MPL02696</t>
  </si>
  <si>
    <t>COD 17/12</t>
  </si>
  <si>
    <t>672TGZ9826</t>
  </si>
  <si>
    <t>MPL07197</t>
  </si>
  <si>
    <t>672TGZ9852</t>
  </si>
  <si>
    <t>MPA-CGO-OEQ-VHFS-00414</t>
  </si>
  <si>
    <t>MPL07179</t>
  </si>
  <si>
    <t>672TGZ9828</t>
  </si>
  <si>
    <t>MPL07188</t>
  </si>
  <si>
    <t>672TQUE266</t>
  </si>
  <si>
    <t>MPA-CGO-OEQ-VHFS-184</t>
  </si>
  <si>
    <t>MPL07184</t>
  </si>
  <si>
    <t>672TGH5654</t>
  </si>
  <si>
    <t>MPL-COD-OEQ-VHFS-00280</t>
  </si>
  <si>
    <t>MPL07190</t>
  </si>
  <si>
    <t>COD 17/17</t>
  </si>
  <si>
    <t>672TGH5655</t>
  </si>
  <si>
    <t>MPA-CGO-OEQ-VHFS-00342</t>
  </si>
  <si>
    <t>672TGG9511</t>
  </si>
  <si>
    <t>MPA-CG0-VHFS-58</t>
  </si>
  <si>
    <t>Unknown</t>
  </si>
  <si>
    <t>Fazeel</t>
  </si>
  <si>
    <t>Thithibe</t>
  </si>
  <si>
    <t>Megu</t>
  </si>
  <si>
    <t>Forman</t>
  </si>
  <si>
    <t>Shantte</t>
  </si>
  <si>
    <t>Tally</t>
  </si>
  <si>
    <t>Old One</t>
  </si>
  <si>
    <t>Ground D-Inch</t>
  </si>
  <si>
    <t>Gear (Fayabe)</t>
  </si>
  <si>
    <t xml:space="preserve">Non Use </t>
  </si>
  <si>
    <t>Container Yard Sup</t>
  </si>
  <si>
    <t>Container Yard Inch</t>
  </si>
  <si>
    <t xml:space="preserve">Admin </t>
  </si>
  <si>
    <t>Admin (Sithu)</t>
  </si>
  <si>
    <t>Groun Yard Inch</t>
  </si>
  <si>
    <t>Bandu Moosa</t>
  </si>
  <si>
    <t>Shuhaam</t>
  </si>
  <si>
    <t>Telly Inch</t>
  </si>
  <si>
    <t>Labours</t>
  </si>
  <si>
    <t>Recivied Date</t>
  </si>
  <si>
    <t>PC NAME</t>
  </si>
  <si>
    <t>PC-POD-46</t>
  </si>
  <si>
    <t>PC-POD-47</t>
  </si>
  <si>
    <t>PC-POD-48</t>
  </si>
  <si>
    <t>PC-POD-49</t>
  </si>
  <si>
    <t>PC-POD-50</t>
  </si>
  <si>
    <t>PC-POD-51</t>
  </si>
  <si>
    <t>PC-POD-52</t>
  </si>
  <si>
    <t>PC-POD-53</t>
  </si>
  <si>
    <t>PC-POD-54</t>
  </si>
  <si>
    <t>PC-POD-55</t>
  </si>
  <si>
    <t>PC-COD-16</t>
  </si>
  <si>
    <t>PC-COD-05</t>
  </si>
  <si>
    <t>PC-POD-44</t>
  </si>
  <si>
    <t>PC-COD-06</t>
  </si>
  <si>
    <t>PC-COD-36</t>
  </si>
  <si>
    <t>PC-COD-22</t>
  </si>
  <si>
    <t>PC-COD-31</t>
  </si>
  <si>
    <t>PC-COD-28</t>
  </si>
  <si>
    <t>PC-COD-42</t>
  </si>
  <si>
    <t>PC-COD-32</t>
  </si>
  <si>
    <t>PC-POD-43</t>
  </si>
  <si>
    <t>PC-COD-15</t>
  </si>
  <si>
    <t>PC-COD-26</t>
  </si>
  <si>
    <t>PC-COD-20</t>
  </si>
  <si>
    <t>PC-COD-39</t>
  </si>
  <si>
    <t>PC-COD-19</t>
  </si>
  <si>
    <t>PC-COD-18</t>
  </si>
  <si>
    <t>PC-COD-10</t>
  </si>
  <si>
    <t>PC-COD-14</t>
  </si>
  <si>
    <t>Ops</t>
  </si>
  <si>
    <t>Ops IC</t>
  </si>
  <si>
    <t>Riyaz</t>
  </si>
  <si>
    <t>Mujey</t>
  </si>
  <si>
    <t>Shihaan</t>
  </si>
  <si>
    <t>Dhunya</t>
  </si>
  <si>
    <t>Afa</t>
  </si>
  <si>
    <t>Ops Support</t>
  </si>
  <si>
    <t>Rishwan</t>
  </si>
  <si>
    <t>PC-POD-45</t>
  </si>
  <si>
    <t>Visham</t>
  </si>
  <si>
    <t>Shiyam / Nihaz / Abdullah</t>
  </si>
  <si>
    <t>Shafraz (New)</t>
  </si>
  <si>
    <t>Ops (New)</t>
  </si>
  <si>
    <t>Shuhaam (New)</t>
  </si>
  <si>
    <t>Fazeel (New)</t>
  </si>
  <si>
    <t>Shihaan (New)</t>
  </si>
  <si>
    <t>Shiyam / Nihaz / Abdullah (New)</t>
  </si>
  <si>
    <t>Ops Support (New)</t>
  </si>
  <si>
    <t>CODS-10</t>
  </si>
  <si>
    <t>PC-CODS-16</t>
  </si>
  <si>
    <t>PC-COD-40</t>
  </si>
  <si>
    <t>PC-CODS-05</t>
  </si>
  <si>
    <t>PC-COD-44</t>
  </si>
  <si>
    <t>PC-CODS-10</t>
  </si>
  <si>
    <t>PC-CODS-03</t>
  </si>
  <si>
    <t>CODS-O2</t>
  </si>
  <si>
    <t>PC-COD-45</t>
  </si>
  <si>
    <t>PC-COD-43</t>
  </si>
  <si>
    <t>PC-COD-54</t>
  </si>
  <si>
    <t>PC-COD-27</t>
  </si>
  <si>
    <t>CODS-O1</t>
  </si>
  <si>
    <t>PC-COD-41</t>
  </si>
  <si>
    <t>CODS-11</t>
  </si>
  <si>
    <t>CODS-O9</t>
  </si>
  <si>
    <t>PC-COD-38</t>
  </si>
  <si>
    <t>COD-21</t>
  </si>
  <si>
    <t xml:space="preserve">Security for Thilafushi Ops </t>
  </si>
  <si>
    <t>C Yard</t>
  </si>
  <si>
    <t>At COD / Currently in use,</t>
  </si>
  <si>
    <t>Asset Type</t>
  </si>
  <si>
    <t>Status</t>
  </si>
  <si>
    <t>Log Action</t>
  </si>
  <si>
    <t>SIM Operator</t>
  </si>
  <si>
    <t>Settings</t>
  </si>
  <si>
    <t>Tablet 8"</t>
  </si>
  <si>
    <t>Tablet 10"</t>
  </si>
  <si>
    <t>PC</t>
  </si>
  <si>
    <t>VHF</t>
  </si>
  <si>
    <t>In Use</t>
  </si>
  <si>
    <t>In Stock</t>
  </si>
  <si>
    <t>Under Repair</t>
  </si>
  <si>
    <t>Unverified</t>
  </si>
  <si>
    <t>Not in Use</t>
  </si>
  <si>
    <t>Disposed</t>
  </si>
  <si>
    <t>Lost</t>
  </si>
  <si>
    <t>Thilafushi</t>
  </si>
  <si>
    <t>Yard Office</t>
  </si>
  <si>
    <t>IT</t>
  </si>
  <si>
    <t>POD Office</t>
  </si>
  <si>
    <t>Cargo Office</t>
  </si>
  <si>
    <t>Issue</t>
  </si>
  <si>
    <t>Return</t>
  </si>
  <si>
    <t>Transfer</t>
  </si>
  <si>
    <t>Repair Out</t>
  </si>
  <si>
    <t>Repair In</t>
  </si>
  <si>
    <t>Mark Damaged</t>
  </si>
  <si>
    <t>Verified</t>
  </si>
  <si>
    <t>Dispose</t>
  </si>
  <si>
    <t>OS Update</t>
  </si>
  <si>
    <t>None</t>
  </si>
  <si>
    <t>Verify every (days)</t>
  </si>
  <si>
    <t>Asset ID prefixes →</t>
  </si>
  <si>
    <t>TAB8 / TAB10 / PC / VHF / VHFU</t>
  </si>
  <si>
    <t>Add new values at the bottom of each list — dropdowns pick them up automatically (blank rows are ignored).</t>
  </si>
  <si>
    <t>Asset Register — Tablets, PCs &amp; VHFs</t>
  </si>
  <si>
    <t>Master list (one row per device). Edit here. Use the Movement Log to record hand-overs &amp; repairs. Columns Q–R are calculated.</t>
  </si>
  <si>
    <t>Asset ID</t>
  </si>
  <si>
    <t>Device Name / Code</t>
  </si>
  <si>
    <t>Brand</t>
  </si>
  <si>
    <t>Model</t>
  </si>
  <si>
    <t>Serial / IMEI</t>
  </si>
  <si>
    <t>Inventory No.</t>
  </si>
  <si>
    <t>Asset No.</t>
  </si>
  <si>
    <t>Alt Ref No.</t>
  </si>
  <si>
    <t>SIM / Operator</t>
  </si>
  <si>
    <t>Assigned To / Shift</t>
  </si>
  <si>
    <t>Issued Date</t>
  </si>
  <si>
    <t>Last OS Update</t>
  </si>
  <si>
    <t>Last Verified</t>
  </si>
  <si>
    <t>Days Since Verified</t>
  </si>
  <si>
    <t>Flags</t>
  </si>
  <si>
    <t>Repair History</t>
  </si>
  <si>
    <t>Source</t>
  </si>
  <si>
    <t>TAB8-001</t>
  </si>
  <si>
    <t>Tab 1</t>
  </si>
  <si>
    <t>350675291199268</t>
  </si>
  <si>
    <t/>
  </si>
  <si>
    <t>Tab 8" row 3</t>
  </si>
  <si>
    <t>TAB8-002</t>
  </si>
  <si>
    <t>Tab 2</t>
  </si>
  <si>
    <t>350675291330186</t>
  </si>
  <si>
    <t>Tab 8" row 4</t>
  </si>
  <si>
    <t>TAB8-003</t>
  </si>
  <si>
    <t>Tab 3</t>
  </si>
  <si>
    <t>350675291332695</t>
  </si>
  <si>
    <t>Tab 8" row 5</t>
  </si>
  <si>
    <t>TAB8-004</t>
  </si>
  <si>
    <t>Tab 4</t>
  </si>
  <si>
    <t>350675291222482</t>
  </si>
  <si>
    <t>Tab 8" row 6</t>
  </si>
  <si>
    <t>TAB8-005</t>
  </si>
  <si>
    <t>Tab 5</t>
  </si>
  <si>
    <t>350675291334022</t>
  </si>
  <si>
    <t>Security</t>
  </si>
  <si>
    <t>Security for Thilafushi Ops</t>
  </si>
  <si>
    <t>Tab 8" row 7</t>
  </si>
  <si>
    <t>TAB8-006</t>
  </si>
  <si>
    <t>Tab 6</t>
  </si>
  <si>
    <t>350675291228877</t>
  </si>
  <si>
    <t>Tab 8" row 8</t>
  </si>
  <si>
    <t>TAB8-007</t>
  </si>
  <si>
    <t>Tab 7</t>
  </si>
  <si>
    <t>350675291228992</t>
  </si>
  <si>
    <t>Tab 8" row 9</t>
  </si>
  <si>
    <t>TAB8-008</t>
  </si>
  <si>
    <t>Tab 8</t>
  </si>
  <si>
    <t>350675291331135</t>
  </si>
  <si>
    <t>Tab 8" row 10</t>
  </si>
  <si>
    <t>TAB8-009</t>
  </si>
  <si>
    <t>Tab 9</t>
  </si>
  <si>
    <t>350675291329451</t>
  </si>
  <si>
    <t>Tab 8" row 11</t>
  </si>
  <si>
    <t>TAB8-010</t>
  </si>
  <si>
    <t>Tab 10</t>
  </si>
  <si>
    <t>350675291331085</t>
  </si>
  <si>
    <t>Tab 8" row 12</t>
  </si>
  <si>
    <t>TAB8-011</t>
  </si>
  <si>
    <t>Tab 11</t>
  </si>
  <si>
    <t>350675291228844</t>
  </si>
  <si>
    <t>Tab 8" row 13</t>
  </si>
  <si>
    <t>TAB8-012</t>
  </si>
  <si>
    <t>Tab 12</t>
  </si>
  <si>
    <t>350675291332265</t>
  </si>
  <si>
    <t>Tab 8" row 14</t>
  </si>
  <si>
    <t>TAB8-013</t>
  </si>
  <si>
    <t>Tab 13</t>
  </si>
  <si>
    <t>350675291222417</t>
  </si>
  <si>
    <t>Tab 8" row 15</t>
  </si>
  <si>
    <t>TAB8-014</t>
  </si>
  <si>
    <t>Tab 14</t>
  </si>
  <si>
    <t>350675291222318</t>
  </si>
  <si>
    <t>Tab 8" row 16</t>
  </si>
  <si>
    <t>TAB8-015</t>
  </si>
  <si>
    <t>Tab 15</t>
  </si>
  <si>
    <t>350675291222557</t>
  </si>
  <si>
    <t>Tab 8" row 17</t>
  </si>
  <si>
    <t>TAB8-016</t>
  </si>
  <si>
    <t>Tab 16</t>
  </si>
  <si>
    <t>350675292375321</t>
  </si>
  <si>
    <t>Tab 8" row 18</t>
  </si>
  <si>
    <t>TAB8-017</t>
  </si>
  <si>
    <t>Tab 17</t>
  </si>
  <si>
    <t>350675292372179</t>
  </si>
  <si>
    <t>Tab 8" row 19</t>
  </si>
  <si>
    <t>TAB8-018</t>
  </si>
  <si>
    <t>Tab 18</t>
  </si>
  <si>
    <t>350675292375511</t>
  </si>
  <si>
    <t>Tab 8" row 20</t>
  </si>
  <si>
    <t>TAB8-019</t>
  </si>
  <si>
    <t>Tab 19</t>
  </si>
  <si>
    <t>350675292374688</t>
  </si>
  <si>
    <t>Tab 8" row 21</t>
  </si>
  <si>
    <t>TAB8-020</t>
  </si>
  <si>
    <t>Tab 20</t>
  </si>
  <si>
    <t>350675292367104</t>
  </si>
  <si>
    <t>Tab 8" row 22</t>
  </si>
  <si>
    <t>TAB8-021</t>
  </si>
  <si>
    <t>Tab 21</t>
  </si>
  <si>
    <t>350675292372864</t>
  </si>
  <si>
    <t>Tab 8" row 23</t>
  </si>
  <si>
    <t>TAB8-022</t>
  </si>
  <si>
    <t>Tab 22</t>
  </si>
  <si>
    <t>350675292371312</t>
  </si>
  <si>
    <t>Tab 8" row 24</t>
  </si>
  <si>
    <t>TAB8-023</t>
  </si>
  <si>
    <t>Tab 23</t>
  </si>
  <si>
    <t>350675292370603</t>
  </si>
  <si>
    <t>Tab 8" row 25</t>
  </si>
  <si>
    <t>TAB8-024</t>
  </si>
  <si>
    <t>Tab 24</t>
  </si>
  <si>
    <t>350675292372005</t>
  </si>
  <si>
    <t>Tab 8" row 26</t>
  </si>
  <si>
    <t>TAB8-025</t>
  </si>
  <si>
    <t>Tab 25</t>
  </si>
  <si>
    <t>350675292361289</t>
  </si>
  <si>
    <t>Tab 8" row 27</t>
  </si>
  <si>
    <t>TAB8-026</t>
  </si>
  <si>
    <t>Tab 26</t>
  </si>
  <si>
    <t>350675292378515</t>
  </si>
  <si>
    <t>Tab 8" row 28</t>
  </si>
  <si>
    <t>TAB8-027</t>
  </si>
  <si>
    <t>Tab 27</t>
  </si>
  <si>
    <t>350675292377301</t>
  </si>
  <si>
    <t>Tab 8" row 29</t>
  </si>
  <si>
    <t>TAB8-028</t>
  </si>
  <si>
    <t>Tab 28</t>
  </si>
  <si>
    <t>350675292373656</t>
  </si>
  <si>
    <t>Tab 8" row 30</t>
  </si>
  <si>
    <t>TAB8-029</t>
  </si>
  <si>
    <t>Tab 29</t>
  </si>
  <si>
    <t>350675292369043</t>
  </si>
  <si>
    <t>Tab 8" row 31</t>
  </si>
  <si>
    <t>TAB8-030</t>
  </si>
  <si>
    <t>Tab 30</t>
  </si>
  <si>
    <t>350675292372658</t>
  </si>
  <si>
    <t>Dhiraagu 10GB / 1589 7592</t>
  </si>
  <si>
    <t>Tab 8" row 32</t>
  </si>
  <si>
    <t>TAB8-031</t>
  </si>
  <si>
    <t>Tab 31</t>
  </si>
  <si>
    <t>350675292374803</t>
  </si>
  <si>
    <t>Tab 8" row 33</t>
  </si>
  <si>
    <t>TAB8-032</t>
  </si>
  <si>
    <t>Tab 32</t>
  </si>
  <si>
    <t>350675292376444</t>
  </si>
  <si>
    <t>Tab 8" row 34</t>
  </si>
  <si>
    <t>TAB8-033</t>
  </si>
  <si>
    <t>Tab 33</t>
  </si>
  <si>
    <t>350675292384000</t>
  </si>
  <si>
    <t>Raazy</t>
  </si>
  <si>
    <t>Tab 8" row 35</t>
  </si>
  <si>
    <t>TAB8-034</t>
  </si>
  <si>
    <t>Tab 34</t>
  </si>
  <si>
    <t>350675292367732</t>
  </si>
  <si>
    <t>Tab 8" row 36</t>
  </si>
  <si>
    <t>TAB8-035</t>
  </si>
  <si>
    <t>Tab 35</t>
  </si>
  <si>
    <t>350675292373540</t>
  </si>
  <si>
    <t>Tab 8" row 37</t>
  </si>
  <si>
    <t>TAB8-036</t>
  </si>
  <si>
    <t>Tab 36</t>
  </si>
  <si>
    <t>350675292367625</t>
  </si>
  <si>
    <t>Tab 8" row 38</t>
  </si>
  <si>
    <t>TAB8-037</t>
  </si>
  <si>
    <t>Tab 37</t>
  </si>
  <si>
    <t>350675292372369</t>
  </si>
  <si>
    <t>Tab 8" row 39</t>
  </si>
  <si>
    <t>TAB8-038</t>
  </si>
  <si>
    <t>Tab 38</t>
  </si>
  <si>
    <t>350675292367831</t>
  </si>
  <si>
    <t>Tab 8" row 40</t>
  </si>
  <si>
    <t>TAB8-039</t>
  </si>
  <si>
    <t>Tab 39</t>
  </si>
  <si>
    <t>350675292372237</t>
  </si>
  <si>
    <t>Tab 8" row 41</t>
  </si>
  <si>
    <t>TAB8-040</t>
  </si>
  <si>
    <t>Tab 40</t>
  </si>
  <si>
    <t>350675292367609</t>
  </si>
  <si>
    <t>Tab 8" row 42</t>
  </si>
  <si>
    <t>TAB8-041</t>
  </si>
  <si>
    <t>Tab 41</t>
  </si>
  <si>
    <t>350675292330276</t>
  </si>
  <si>
    <t>Tab 8" row 43</t>
  </si>
  <si>
    <t>TAB8-042</t>
  </si>
  <si>
    <t>Tab 42</t>
  </si>
  <si>
    <t>350675292366171</t>
  </si>
  <si>
    <t>Tab 8" row 44</t>
  </si>
  <si>
    <t>TAB8-043</t>
  </si>
  <si>
    <t>Tab 43</t>
  </si>
  <si>
    <t>350675292365785</t>
  </si>
  <si>
    <t>Tab 8" row 45</t>
  </si>
  <si>
    <t>TAB8-044</t>
  </si>
  <si>
    <t>Tab 44</t>
  </si>
  <si>
    <t>350675292377137</t>
  </si>
  <si>
    <t>Tab 8" row 46</t>
  </si>
  <si>
    <t>TAB8-045</t>
  </si>
  <si>
    <t>Tab 45</t>
  </si>
  <si>
    <t>350675292371395</t>
  </si>
  <si>
    <t>Tab 8" row 47</t>
  </si>
  <si>
    <t>TAB8-046</t>
  </si>
  <si>
    <t>357384190325461</t>
  </si>
  <si>
    <t>Tab 8" row 48</t>
  </si>
  <si>
    <t>TAB10-001</t>
  </si>
  <si>
    <t>356904752482896</t>
  </si>
  <si>
    <t>Dhiraagu 10GB / 1675 4957</t>
  </si>
  <si>
    <t>B Shift</t>
  </si>
  <si>
    <t>Tab 10" row 3</t>
  </si>
  <si>
    <t>TAB10-002</t>
  </si>
  <si>
    <t>356904752487127</t>
  </si>
  <si>
    <t>Tab 10" row 4</t>
  </si>
  <si>
    <t>TAB10-003</t>
  </si>
  <si>
    <t>356904751788400</t>
  </si>
  <si>
    <t>Dhiraagu 10GB / 1675 4958</t>
  </si>
  <si>
    <t>C Shift</t>
  </si>
  <si>
    <t>Tab 10" row 5</t>
  </si>
  <si>
    <t>TAB10-004</t>
  </si>
  <si>
    <t>356904852486251</t>
  </si>
  <si>
    <t>Dhiraagu 10GB / 1675 4955</t>
  </si>
  <si>
    <t>Tab 10" row 6</t>
  </si>
  <si>
    <t>TAB10-005</t>
  </si>
  <si>
    <t>356904752488133</t>
  </si>
  <si>
    <t>Tab 10" row 7</t>
  </si>
  <si>
    <t>TAB10-006</t>
  </si>
  <si>
    <t>356904752488083</t>
  </si>
  <si>
    <t>Dhiraagu 10GB / 1675 4956</t>
  </si>
  <si>
    <t>Tab 10" row 8</t>
  </si>
  <si>
    <t>TAB10-007</t>
  </si>
  <si>
    <t>356904752488737</t>
  </si>
  <si>
    <t>Dhiraagu 10GB / 1654 6458</t>
  </si>
  <si>
    <t>Tab 10" row 9</t>
  </si>
  <si>
    <t>TAB10-008</t>
  </si>
  <si>
    <t>356904752477680</t>
  </si>
  <si>
    <t>Dhiraagu 10GB / 1675 4961</t>
  </si>
  <si>
    <t>Tab 10" row 10</t>
  </si>
  <si>
    <t>TAB10-009</t>
  </si>
  <si>
    <t>356904752478043</t>
  </si>
  <si>
    <t>Tab 10" row 11</t>
  </si>
  <si>
    <t>TAB10-010</t>
  </si>
  <si>
    <t>356904752488901</t>
  </si>
  <si>
    <t>Dhiraagu 10GB / 1675 4963</t>
  </si>
  <si>
    <t>A Shift</t>
  </si>
  <si>
    <t>Tab 10" row 12</t>
  </si>
  <si>
    <t>TAB10-011</t>
  </si>
  <si>
    <t>Dhiraagu 10GB / 1654 6160</t>
  </si>
  <si>
    <t>Tab 10" row 13</t>
  </si>
  <si>
    <t>TAB10-012</t>
  </si>
  <si>
    <t>356904751791669</t>
  </si>
  <si>
    <t>Tab 10" row 14</t>
  </si>
  <si>
    <t>TAB10-013</t>
  </si>
  <si>
    <t>356904752486376</t>
  </si>
  <si>
    <t>Dhiraagu 10GB / 1675 4959</t>
  </si>
  <si>
    <t>Tab 10" row 15</t>
  </si>
  <si>
    <t>TAB10-014</t>
  </si>
  <si>
    <t>356904751810964</t>
  </si>
  <si>
    <t>Tab 10" row 16</t>
  </si>
  <si>
    <t>TAB10-015</t>
  </si>
  <si>
    <t>356904752484454</t>
  </si>
  <si>
    <t>Dhiraagu 20GB / 1603 4966</t>
  </si>
  <si>
    <t>Tab 10" row 17</t>
  </si>
  <si>
    <t>TAB10-016</t>
  </si>
  <si>
    <t>356904751785794</t>
  </si>
  <si>
    <t>Dhiraagu 20GB / 1603 4964</t>
  </si>
  <si>
    <t>Tab 10" row 18</t>
  </si>
  <si>
    <t>TAB10-017</t>
  </si>
  <si>
    <t>356904752482599</t>
  </si>
  <si>
    <t>Tab 10" row 19</t>
  </si>
  <si>
    <t>TAB10-018</t>
  </si>
  <si>
    <t>356904752484165</t>
  </si>
  <si>
    <t>Dhiraagu 10GB / 1675 4954</t>
  </si>
  <si>
    <t>Tab 10" row 20</t>
  </si>
  <si>
    <t>TAB10-019</t>
  </si>
  <si>
    <t>356904752481096</t>
  </si>
  <si>
    <t>Dhiraagu 10GB / 1675 4953</t>
  </si>
  <si>
    <t>Tab 10" row 21</t>
  </si>
  <si>
    <t>TAB10-020</t>
  </si>
  <si>
    <t>356904750632443</t>
  </si>
  <si>
    <t>Dhiraagu 10GB / 1675 4962</t>
  </si>
  <si>
    <t>Tab 10" row 22</t>
  </si>
  <si>
    <t>PC-001</t>
  </si>
  <si>
    <t>PC row 2</t>
  </si>
  <si>
    <t>PC-002</t>
  </si>
  <si>
    <t>Monitors: 2</t>
  </si>
  <si>
    <t>PC row 3</t>
  </si>
  <si>
    <t>PC-003</t>
  </si>
  <si>
    <t>PC row 4</t>
  </si>
  <si>
    <t>PC-004</t>
  </si>
  <si>
    <t>PC row 5</t>
  </si>
  <si>
    <t>PC-005</t>
  </si>
  <si>
    <t>PC row 6</t>
  </si>
  <si>
    <t>PC-006</t>
  </si>
  <si>
    <t>PC row 7</t>
  </si>
  <si>
    <t>PC-007</t>
  </si>
  <si>
    <t>PC row 8</t>
  </si>
  <si>
    <t>PC-008</t>
  </si>
  <si>
    <t>Admin</t>
  </si>
  <si>
    <t>PC row 9</t>
  </si>
  <si>
    <t>PC-009</t>
  </si>
  <si>
    <t>PC row 10</t>
  </si>
  <si>
    <t>PC-010</t>
  </si>
  <si>
    <t>PC row 11</t>
  </si>
  <si>
    <t>PC-011</t>
  </si>
  <si>
    <t>PC row 12</t>
  </si>
  <si>
    <t>PC-012</t>
  </si>
  <si>
    <t>PC row 13</t>
  </si>
  <si>
    <t>PC-013</t>
  </si>
  <si>
    <t>PC row 14</t>
  </si>
  <si>
    <t>PC-014</t>
  </si>
  <si>
    <t>PC row 15</t>
  </si>
  <si>
    <t>PC-015</t>
  </si>
  <si>
    <t>PC row 16</t>
  </si>
  <si>
    <t>PC-016</t>
  </si>
  <si>
    <t>PC row 17</t>
  </si>
  <si>
    <t>PC-017</t>
  </si>
  <si>
    <t>PC row 18</t>
  </si>
  <si>
    <t>PC-018</t>
  </si>
  <si>
    <t>PC row 19</t>
  </si>
  <si>
    <t>PC-019</t>
  </si>
  <si>
    <t>PC row 20</t>
  </si>
  <si>
    <t>PC-020</t>
  </si>
  <si>
    <t>PC row 21</t>
  </si>
  <si>
    <t>PC-021</t>
  </si>
  <si>
    <t>PC row 22</t>
  </si>
  <si>
    <t>PC-022</t>
  </si>
  <si>
    <t>PC row 23</t>
  </si>
  <si>
    <t>PC-023</t>
  </si>
  <si>
    <t>PC row 24</t>
  </si>
  <si>
    <t>PC-024</t>
  </si>
  <si>
    <t>PC row 25</t>
  </si>
  <si>
    <t>PC-025</t>
  </si>
  <si>
    <t>PC row 26</t>
  </si>
  <si>
    <t>PC-026</t>
  </si>
  <si>
    <t>PC row 27</t>
  </si>
  <si>
    <t>PC-027</t>
  </si>
  <si>
    <t>PC row 28</t>
  </si>
  <si>
    <t>PC-028</t>
  </si>
  <si>
    <t>PC row 29</t>
  </si>
  <si>
    <t>PC-029</t>
  </si>
  <si>
    <t>PC row 30</t>
  </si>
  <si>
    <t>PC-030</t>
  </si>
  <si>
    <t>PC row 31</t>
  </si>
  <si>
    <t>PC-031</t>
  </si>
  <si>
    <t>PC row 32</t>
  </si>
  <si>
    <t>PC-032</t>
  </si>
  <si>
    <t>PC row 33</t>
  </si>
  <si>
    <t>PC-033</t>
  </si>
  <si>
    <t>PC row 34</t>
  </si>
  <si>
    <t>PC-034</t>
  </si>
  <si>
    <t>PC row 35</t>
  </si>
  <si>
    <t>PC-035</t>
  </si>
  <si>
    <t>PC row 36</t>
  </si>
  <si>
    <t>PC-036</t>
  </si>
  <si>
    <t>PC row 37</t>
  </si>
  <si>
    <t>PC-037</t>
  </si>
  <si>
    <t>PC row 38</t>
  </si>
  <si>
    <t>PC-038</t>
  </si>
  <si>
    <t>PC row 39</t>
  </si>
  <si>
    <t>PC-039</t>
  </si>
  <si>
    <t>PC row 40</t>
  </si>
  <si>
    <t>PC-040</t>
  </si>
  <si>
    <t>PC row 41</t>
  </si>
  <si>
    <t>PC-041</t>
  </si>
  <si>
    <t>PC row 42</t>
  </si>
  <si>
    <t>PC-042</t>
  </si>
  <si>
    <t>PC row 43</t>
  </si>
  <si>
    <t>PC-043</t>
  </si>
  <si>
    <t>PC row 44</t>
  </si>
  <si>
    <t>PC-044</t>
  </si>
  <si>
    <t>PC row 45</t>
  </si>
  <si>
    <t>PC-045</t>
  </si>
  <si>
    <t>PC row 46</t>
  </si>
  <si>
    <t>PC-046</t>
  </si>
  <si>
    <t>PC row 47</t>
  </si>
  <si>
    <t>PC-047</t>
  </si>
  <si>
    <t>PC row 48</t>
  </si>
  <si>
    <t>PC-048</t>
  </si>
  <si>
    <t>PC row 49</t>
  </si>
  <si>
    <t>PC-049</t>
  </si>
  <si>
    <t>PC row 50</t>
  </si>
  <si>
    <t>VHF-001</t>
  </si>
  <si>
    <t>Motorola</t>
  </si>
  <si>
    <t>VHF row 3</t>
  </si>
  <si>
    <t>VHF-002</t>
  </si>
  <si>
    <t>VHF row 4</t>
  </si>
  <si>
    <t>VHF-003</t>
  </si>
  <si>
    <t>VHF row 5</t>
  </si>
  <si>
    <t>VHF-004</t>
  </si>
  <si>
    <t>VHF row 6</t>
  </si>
  <si>
    <t>VHF-005</t>
  </si>
  <si>
    <t>VHF row 7</t>
  </si>
  <si>
    <t>VHF-006</t>
  </si>
  <si>
    <t>VHF row 8</t>
  </si>
  <si>
    <t>VHF-007</t>
  </si>
  <si>
    <t>VHF row 9</t>
  </si>
  <si>
    <t>VHF-008</t>
  </si>
  <si>
    <t>MPL-CGO-OEQ-VHFS-00718</t>
  </si>
  <si>
    <t>VHF row 10</t>
  </si>
  <si>
    <t>VHF-009</t>
  </si>
  <si>
    <t>MPL-CGO-OEQ-VHFS-00720</t>
  </si>
  <si>
    <t>VHF row 11</t>
  </si>
  <si>
    <t>VHF-010</t>
  </si>
  <si>
    <t>MPL-CGO-OEQ-VHFS-00727</t>
  </si>
  <si>
    <t>VHF row 12</t>
  </si>
  <si>
    <t>VHF-011</t>
  </si>
  <si>
    <t>MPL-CGO-OEQ-VHFS-00729</t>
  </si>
  <si>
    <t>VHF row 13</t>
  </si>
  <si>
    <t>VHF-012</t>
  </si>
  <si>
    <t>MPL-CGO-OEQ-VHFS-00734</t>
  </si>
  <si>
    <t>VHF row 14</t>
  </si>
  <si>
    <t>VHF-013</t>
  </si>
  <si>
    <t>XiR P3688</t>
  </si>
  <si>
    <t>VHF row 15</t>
  </si>
  <si>
    <t>VHF-014</t>
  </si>
  <si>
    <t>VHF row 16</t>
  </si>
  <si>
    <t>VHF-015</t>
  </si>
  <si>
    <t>VHF row 17</t>
  </si>
  <si>
    <t>VHF-016</t>
  </si>
  <si>
    <t>VHF row 18</t>
  </si>
  <si>
    <t>VHF-017</t>
  </si>
  <si>
    <t>VHF row 19</t>
  </si>
  <si>
    <t>VHF-018</t>
  </si>
  <si>
    <t>VHF row 20</t>
  </si>
  <si>
    <t>VHF-019</t>
  </si>
  <si>
    <t>VHF row 21</t>
  </si>
  <si>
    <t>VHF-020</t>
  </si>
  <si>
    <t>VHF row 22</t>
  </si>
  <si>
    <t>VHF-021</t>
  </si>
  <si>
    <t>MPL-CGO-OEQ-VHFS-00714</t>
  </si>
  <si>
    <t>VHF row 23</t>
  </si>
  <si>
    <t>VHF-022</t>
  </si>
  <si>
    <t>MPL-CGO-OEQ-VHFS-00715</t>
  </si>
  <si>
    <t>VHF row 24</t>
  </si>
  <si>
    <t>VHF-023</t>
  </si>
  <si>
    <t>MPL-CGO-OEQ-VHFS-00716</t>
  </si>
  <si>
    <t>VHF row 25</t>
  </si>
  <si>
    <t>VHF-024</t>
  </si>
  <si>
    <t>VHF row 26</t>
  </si>
  <si>
    <t>VHF-025</t>
  </si>
  <si>
    <t>VHF row 27</t>
  </si>
  <si>
    <t>VHF-026</t>
  </si>
  <si>
    <t>VHF row 28</t>
  </si>
  <si>
    <t>VHF-027</t>
  </si>
  <si>
    <t>VHF row 29</t>
  </si>
  <si>
    <t>VHF-028</t>
  </si>
  <si>
    <t>VHF row 30</t>
  </si>
  <si>
    <t>VHF-029</t>
  </si>
  <si>
    <t>VHF row 31</t>
  </si>
  <si>
    <t>VHF-030</t>
  </si>
  <si>
    <t>VHF row 32</t>
  </si>
  <si>
    <t>VHF-031</t>
  </si>
  <si>
    <t>VHF row 33</t>
  </si>
  <si>
    <t>VHF-032</t>
  </si>
  <si>
    <t>MPL-CGO-OEQ-VHFS-00700</t>
  </si>
  <si>
    <t>VHF row 34</t>
  </si>
  <si>
    <t>VHF-033</t>
  </si>
  <si>
    <t>MPL-CGO-OEQ-VHFS-00701</t>
  </si>
  <si>
    <t>VHF row 35</t>
  </si>
  <si>
    <t>VHF-034</t>
  </si>
  <si>
    <t>MPL-CGO-OEQ-VHFS-00702</t>
  </si>
  <si>
    <t>VHF row 36</t>
  </si>
  <si>
    <t>VHF-035</t>
  </si>
  <si>
    <t>MPL-CGO-OEQ-VHFS-00703</t>
  </si>
  <si>
    <t>VHF row 37</t>
  </si>
  <si>
    <t>VHF-036</t>
  </si>
  <si>
    <t>MPL-CGO-OEQ-VHFS-00704</t>
  </si>
  <si>
    <t>VHF row 38</t>
  </si>
  <si>
    <t>VHF-037</t>
  </si>
  <si>
    <t>MPL-CGO-OEQ-VHFS-00705</t>
  </si>
  <si>
    <t>VHF row 39</t>
  </si>
  <si>
    <t>VHF-038</t>
  </si>
  <si>
    <t>MPL-CGO-OEQ-VHFS-00723</t>
  </si>
  <si>
    <t>VHF row 40</t>
  </si>
  <si>
    <t>VHF-039</t>
  </si>
  <si>
    <t>MPL-CGO-OEQ-VHFS-00724</t>
  </si>
  <si>
    <t>VHF row 41</t>
  </si>
  <si>
    <t>VHF-040</t>
  </si>
  <si>
    <t>MPL-CGO-OEQ-VHFS-00725</t>
  </si>
  <si>
    <t>VHF row 42</t>
  </si>
  <si>
    <t>VHF-041</t>
  </si>
  <si>
    <t>MPL-CGO-OEQ-VHFS-00726</t>
  </si>
  <si>
    <t>VHF row 43</t>
  </si>
  <si>
    <t>VHF-042</t>
  </si>
  <si>
    <t>VHF row 44</t>
  </si>
  <si>
    <t>VHF-043</t>
  </si>
  <si>
    <t>VHF row 45</t>
  </si>
  <si>
    <t>VHF-044</t>
  </si>
  <si>
    <t>VHF row 46</t>
  </si>
  <si>
    <t>VHF-045</t>
  </si>
  <si>
    <t>VHF row 47</t>
  </si>
  <si>
    <t>VHF-046</t>
  </si>
  <si>
    <t>VHF row 48</t>
  </si>
  <si>
    <t>VHF-047</t>
  </si>
  <si>
    <t>VHF row 49</t>
  </si>
  <si>
    <t>VHF-048</t>
  </si>
  <si>
    <t>VHF row 50</t>
  </si>
  <si>
    <t>VHF-049</t>
  </si>
  <si>
    <t>VHF row 51</t>
  </si>
  <si>
    <t>VHF-050</t>
  </si>
  <si>
    <t>VHF row 52</t>
  </si>
  <si>
    <t>VHF-051</t>
  </si>
  <si>
    <t>VHF row 53</t>
  </si>
  <si>
    <t>VHF-052</t>
  </si>
  <si>
    <t>VHF row 54</t>
  </si>
  <si>
    <t>VHF-053</t>
  </si>
  <si>
    <t>VHF row 55</t>
  </si>
  <si>
    <t>VHF-054</t>
  </si>
  <si>
    <t>MPL-CGO-OEQ-VHFS-00731</t>
  </si>
  <si>
    <t>VHF row 56</t>
  </si>
  <si>
    <t>VHF-055</t>
  </si>
  <si>
    <t>VHF row 57</t>
  </si>
  <si>
    <t>VHF-056</t>
  </si>
  <si>
    <t>VHF row 58</t>
  </si>
  <si>
    <t>VHF-057</t>
  </si>
  <si>
    <t>VHF row 59</t>
  </si>
  <si>
    <t>VHF-058</t>
  </si>
  <si>
    <t>VHF row 60</t>
  </si>
  <si>
    <t>VHF-059</t>
  </si>
  <si>
    <t>VHF row 61</t>
  </si>
  <si>
    <t>VHF-060</t>
  </si>
  <si>
    <t>VHF row 62</t>
  </si>
  <si>
    <t>VHF-061</t>
  </si>
  <si>
    <t>VHF row 63</t>
  </si>
  <si>
    <t>VHF-062</t>
  </si>
  <si>
    <t>VHF row 64</t>
  </si>
  <si>
    <t>VHF-063</t>
  </si>
  <si>
    <t>VHF row 65</t>
  </si>
  <si>
    <t>VHF-064</t>
  </si>
  <si>
    <t>VHF row 66</t>
  </si>
  <si>
    <t>VHF-065</t>
  </si>
  <si>
    <t>VHF row 67</t>
  </si>
  <si>
    <t>VHF-066</t>
  </si>
  <si>
    <t>Damaged clicker</t>
  </si>
  <si>
    <t>VHF row 68</t>
  </si>
  <si>
    <t>VHF-067</t>
  </si>
  <si>
    <t>VHF row 69</t>
  </si>
  <si>
    <t>VHF-068</t>
  </si>
  <si>
    <t>VHF row 70</t>
  </si>
  <si>
    <t>VHF-069</t>
  </si>
  <si>
    <t>VHF row 71</t>
  </si>
  <si>
    <t>VHF-070</t>
  </si>
  <si>
    <t>VHF row 72</t>
  </si>
  <si>
    <t>VHF-071</t>
  </si>
  <si>
    <t>VHF row 73</t>
  </si>
  <si>
    <t>VHF-072</t>
  </si>
  <si>
    <t>VHF row 74</t>
  </si>
  <si>
    <t>VHF-073</t>
  </si>
  <si>
    <t>VHF row 75</t>
  </si>
  <si>
    <t>VHF-074</t>
  </si>
  <si>
    <t>VHF row 76</t>
  </si>
  <si>
    <t>VHF-075</t>
  </si>
  <si>
    <t>VHF row 77</t>
  </si>
  <si>
    <t>VHF-076</t>
  </si>
  <si>
    <t>VHF row 78</t>
  </si>
  <si>
    <t>VHF-077</t>
  </si>
  <si>
    <t>VHF row 79</t>
  </si>
  <si>
    <t>VHF-078</t>
  </si>
  <si>
    <t>VHF row 80</t>
  </si>
  <si>
    <t>VHF-079</t>
  </si>
  <si>
    <t>VHF row 81</t>
  </si>
  <si>
    <t>VHF-080</t>
  </si>
  <si>
    <t>VHF row 82</t>
  </si>
  <si>
    <t>VHF-081</t>
  </si>
  <si>
    <t>VHF row 83</t>
  </si>
  <si>
    <t>VHF-082</t>
  </si>
  <si>
    <t>VHF row 84</t>
  </si>
  <si>
    <t>VHF-083</t>
  </si>
  <si>
    <t>MPL-CGO-OEQ-VHFS-00739</t>
  </si>
  <si>
    <t>VHF row 85</t>
  </si>
  <si>
    <t>VHF-084</t>
  </si>
  <si>
    <t>MPL-CGO-OEQ-VHFS-00740</t>
  </si>
  <si>
    <t>VHF row 86</t>
  </si>
  <si>
    <t>VHF-085</t>
  </si>
  <si>
    <t>MPL-CGO-OEQ-VHFS-00741</t>
  </si>
  <si>
    <t>VHF row 87</t>
  </si>
  <si>
    <t>VHF-086</t>
  </si>
  <si>
    <t>MPL-CGO-OEQ-VHFS-00711</t>
  </si>
  <si>
    <t>VHF row 88</t>
  </si>
  <si>
    <t>VHF-087</t>
  </si>
  <si>
    <t>MPL-CGO-OEQ-VHFS-00712</t>
  </si>
  <si>
    <t>VHF row 89</t>
  </si>
  <si>
    <t>VHF-088</t>
  </si>
  <si>
    <t>Vertex Standard</t>
  </si>
  <si>
    <t>Base Station</t>
  </si>
  <si>
    <t>VHF row 90</t>
  </si>
  <si>
    <t>VHF-089</t>
  </si>
  <si>
    <t>VHF row 91</t>
  </si>
  <si>
    <t>VHF-090</t>
  </si>
  <si>
    <t>VHF row 92</t>
  </si>
  <si>
    <t>VHF-091</t>
  </si>
  <si>
    <t>MPL-CGO-OEQ-VHFS-00706</t>
  </si>
  <si>
    <t>VHF row 93</t>
  </si>
  <si>
    <t>VHFU-001</t>
  </si>
  <si>
    <t>From 'Unknown' list (#1)</t>
  </si>
  <si>
    <t>VHF row 3 (col K:P)</t>
  </si>
  <si>
    <t>VHFU-002</t>
  </si>
  <si>
    <t>From 'Unknown' list (#2)</t>
  </si>
  <si>
    <t>VHF row 4 (col K:P)</t>
  </si>
  <si>
    <t>VHFU-003</t>
  </si>
  <si>
    <t>From 'Unknown' list (#4)</t>
  </si>
  <si>
    <t>VHF row 5 (col K:P)</t>
  </si>
  <si>
    <t>VHFU-004</t>
  </si>
  <si>
    <t>From 'Unknown' list (#5)</t>
  </si>
  <si>
    <t>VHF row 6 (col K:P)</t>
  </si>
  <si>
    <t>VHFU-005</t>
  </si>
  <si>
    <t>From 'Unknown' list (#7)</t>
  </si>
  <si>
    <t>VHF row 7 (col K:P)</t>
  </si>
  <si>
    <t>VHFU-006</t>
  </si>
  <si>
    <t>From 'Unknown' list (#8)</t>
  </si>
  <si>
    <t>VHF row 8 (col K:P)</t>
  </si>
  <si>
    <t>VHFU-007</t>
  </si>
  <si>
    <t>From 'Unknown' list (#10)</t>
  </si>
  <si>
    <t>VHF row 9 (col K:P)</t>
  </si>
  <si>
    <t>VHFU-008</t>
  </si>
  <si>
    <t>From 'Unknown' list (#11)</t>
  </si>
  <si>
    <t>VHF row 10 (col K:P)</t>
  </si>
  <si>
    <t>VHFU-009</t>
  </si>
  <si>
    <t>From 'Unknown' list (#12)</t>
  </si>
  <si>
    <t>VHF row 11 (col K:P)</t>
  </si>
  <si>
    <t>VHFU-010</t>
  </si>
  <si>
    <t>From 'Unknown' list (#13)</t>
  </si>
  <si>
    <t>VHF row 12 (col K:P)</t>
  </si>
  <si>
    <t>VHFU-011</t>
  </si>
  <si>
    <t>From 'Unknown' list (#14)</t>
  </si>
  <si>
    <t>VHF row 13 (col K:P)</t>
  </si>
  <si>
    <t>VHFU-012</t>
  </si>
  <si>
    <t>From 'Unknown' list (#15)</t>
  </si>
  <si>
    <t>VHF row 14 (col K:P)</t>
  </si>
  <si>
    <t>VHFU-013</t>
  </si>
  <si>
    <t>From 'Unknown' list (#16)</t>
  </si>
  <si>
    <t>VHF row 15 (col K:P)</t>
  </si>
  <si>
    <t>VHFU-014</t>
  </si>
  <si>
    <t>From 'Unknown' list (#17)</t>
  </si>
  <si>
    <t>VHF row 16 (col K:P)</t>
  </si>
  <si>
    <t>VHFU-015</t>
  </si>
  <si>
    <t>From 'Unknown' list (#18)</t>
  </si>
  <si>
    <t>VHF row 17 (col K:P)</t>
  </si>
  <si>
    <t>VHFU-016</t>
  </si>
  <si>
    <t>From 'Unknown' list (#19)</t>
  </si>
  <si>
    <t>VHF row 18 (col K:P)</t>
  </si>
  <si>
    <t>VHFU-017</t>
  </si>
  <si>
    <t>From 'Unknown' list (#20)</t>
  </si>
  <si>
    <t>VHF row 19 (col K:P)</t>
  </si>
  <si>
    <t>VHFU-018</t>
  </si>
  <si>
    <t>From 'Unknown' list (#21)</t>
  </si>
  <si>
    <t>VHF row 20 (col K:P)</t>
  </si>
  <si>
    <t>VHFU-019</t>
  </si>
  <si>
    <t>From 'Unknown' list (#22)</t>
  </si>
  <si>
    <t>VHF row 21 (col K:P)</t>
  </si>
  <si>
    <t>VHFU-020</t>
  </si>
  <si>
    <t>From 'Unknown' list (#23)</t>
  </si>
  <si>
    <t>VHF row 22 (col K:P)</t>
  </si>
  <si>
    <t>VHFU-021</t>
  </si>
  <si>
    <t>From 'Unknown' list (#25)</t>
  </si>
  <si>
    <t>VHF row 23 (col K:P)</t>
  </si>
  <si>
    <t>VHFU-022</t>
  </si>
  <si>
    <t>From 'Unknown' list (#27)</t>
  </si>
  <si>
    <t>VHF row 24 (col K:P)</t>
  </si>
  <si>
    <t>VHFU-023</t>
  </si>
  <si>
    <t>From 'Unknown' list (#28)</t>
  </si>
  <si>
    <t>VHF row 25 (col K:P)</t>
  </si>
  <si>
    <t>VHFU-024</t>
  </si>
  <si>
    <t>From 'Unknown' list (#29)</t>
  </si>
  <si>
    <t>VHF row 26 (col K:P)</t>
  </si>
  <si>
    <t>VHFU-025</t>
  </si>
  <si>
    <t>From 'Unknown' list (#31)</t>
  </si>
  <si>
    <t>VHF row 27 (col K:P)</t>
  </si>
  <si>
    <t>VHFU-026</t>
  </si>
  <si>
    <t>From 'Unknown' list (#32)</t>
  </si>
  <si>
    <t>VHF row 28 (col K:P)</t>
  </si>
  <si>
    <t>VHFU-027</t>
  </si>
  <si>
    <t>From 'Unknown' list (#34)</t>
  </si>
  <si>
    <t>VHF row 29 (col K:P)</t>
  </si>
  <si>
    <t>VHFU-028</t>
  </si>
  <si>
    <t>From 'Unknown' list (#35)</t>
  </si>
  <si>
    <t>VHF row 30 (col K:P)</t>
  </si>
  <si>
    <t>VHFU-029</t>
  </si>
  <si>
    <t>From 'Unknown' list (#36)</t>
  </si>
  <si>
    <t>VHF row 31 (col K:P)</t>
  </si>
  <si>
    <t>VHFU-030</t>
  </si>
  <si>
    <t>From 'Unknown' list (#37)</t>
  </si>
  <si>
    <t>VHF row 32 (col K:P)</t>
  </si>
  <si>
    <t>VHFU-031</t>
  </si>
  <si>
    <t>From 'Unknown' list (#39)</t>
  </si>
  <si>
    <t>VHF row 33 (col K:P)</t>
  </si>
  <si>
    <t>VHFU-032</t>
  </si>
  <si>
    <t>From 'Unknown' list (#41)</t>
  </si>
  <si>
    <t>VHF row 34 (col K:P)</t>
  </si>
  <si>
    <t>VHFU-033</t>
  </si>
  <si>
    <t>From 'Unknown' list (#42)</t>
  </si>
  <si>
    <t>VHF row 35 (col K:P)</t>
  </si>
  <si>
    <t>VHFU-034</t>
  </si>
  <si>
    <t>From 'Unknown' list (#43)</t>
  </si>
  <si>
    <t>VHF row 36 (col K:P)</t>
  </si>
  <si>
    <t>VHFU-035</t>
  </si>
  <si>
    <t>From 'Unknown' list (#45)</t>
  </si>
  <si>
    <t>VHF row 37 (col K:P)</t>
  </si>
  <si>
    <t>VHFU-036</t>
  </si>
  <si>
    <t>VHF row 38 (col K:P)</t>
  </si>
  <si>
    <t>VHFU-037</t>
  </si>
  <si>
    <t>VHF row 39 (col K:P)</t>
  </si>
  <si>
    <t>VHFU-038</t>
  </si>
  <si>
    <t>VHF row 40 (col K:P)</t>
  </si>
  <si>
    <t>VHFU-039</t>
  </si>
  <si>
    <t>VHF row 41 (col K:P)</t>
  </si>
  <si>
    <t>VHFU-040</t>
  </si>
  <si>
    <t>VHF row 42 (col K:P)</t>
  </si>
  <si>
    <t>VHFU-041</t>
  </si>
  <si>
    <t>MPL-CGO-OEQ-VHFS-00707</t>
  </si>
  <si>
    <t>From 'Unknown' list (#36); Unit: COD- CY</t>
  </si>
  <si>
    <t>VHF row 43 (col K:P)</t>
  </si>
  <si>
    <t>VHFU-042</t>
  </si>
  <si>
    <t>MPL-CGO-OEQ-VHFS-00708</t>
  </si>
  <si>
    <t>From 'Unknown' list (#37); Unit: COD- CY</t>
  </si>
  <si>
    <t>VHF row 44 (col K:P)</t>
  </si>
  <si>
    <t>VHFU-043</t>
  </si>
  <si>
    <t>MPL-CGO-OEQ-VHFS-00717</t>
  </si>
  <si>
    <t>From 'Unknown' list (#46)</t>
  </si>
  <si>
    <t>VHF row 45 (col K:P)</t>
  </si>
  <si>
    <t>VHFU-044</t>
  </si>
  <si>
    <t>MPL-CGO-OEQ-VHFS-00719</t>
  </si>
  <si>
    <t>From 'Unknown' list (#48)</t>
  </si>
  <si>
    <t>VHF row 46 (col K:P)</t>
  </si>
  <si>
    <t>VHFU-045</t>
  </si>
  <si>
    <t>MPL-CGO-OEQ-VHFS-00721</t>
  </si>
  <si>
    <t>From 'Unknown' list (#50)</t>
  </si>
  <si>
    <t>VHF row 47 (col K:P)</t>
  </si>
  <si>
    <t>VHFU-046</t>
  </si>
  <si>
    <t>MPL-CGO-OEQ-VHFS-00722</t>
  </si>
  <si>
    <t>From 'Unknown' list (#51)</t>
  </si>
  <si>
    <t>VHF row 48 (col K:P)</t>
  </si>
  <si>
    <t>VHFU-047</t>
  </si>
  <si>
    <t>MPL-CGO-OEQ-VHFS-00728</t>
  </si>
  <si>
    <t>From 'Unknown' list (#57)</t>
  </si>
  <si>
    <t>VHF row 49 (col K:P)</t>
  </si>
  <si>
    <t>VHFU-048</t>
  </si>
  <si>
    <t>MPL-CGO-OEQ-VHFS-00730</t>
  </si>
  <si>
    <t>From 'Unknown' list (#59)</t>
  </si>
  <si>
    <t>VHF row 50 (col K:P)</t>
  </si>
  <si>
    <t>VHFU-049</t>
  </si>
  <si>
    <t>MPL-CGO-OEQ-VHFS-00732</t>
  </si>
  <si>
    <t>From 'Unknown' list (#61)</t>
  </si>
  <si>
    <t>VHF row 51 (col K:P)</t>
  </si>
  <si>
    <t>VHFU-050</t>
  </si>
  <si>
    <t>MPL-CGO-OEQ-VHFS-00735</t>
  </si>
  <si>
    <t>From 'Unknown' list (#64)</t>
  </si>
  <si>
    <t>VHF row 52 (col K:P)</t>
  </si>
  <si>
    <t>VHFU-051</t>
  </si>
  <si>
    <t>From 'Unknown' list</t>
  </si>
  <si>
    <t>VHF row 53 (col K:P)</t>
  </si>
  <si>
    <t>VHFU-052</t>
  </si>
  <si>
    <t>VHF row 54 (col K:P)</t>
  </si>
  <si>
    <t>VHFU-053</t>
  </si>
  <si>
    <t>VHF row 55 (col K:P)</t>
  </si>
  <si>
    <t>VHFU-054</t>
  </si>
  <si>
    <t>VHF row 56 (col K:P)</t>
  </si>
  <si>
    <t>VHFU-055</t>
  </si>
  <si>
    <t>VHF row 57 (col K:P)</t>
  </si>
  <si>
    <t>VHFU-056</t>
  </si>
  <si>
    <t>VHF row 58 (col K:P)</t>
  </si>
  <si>
    <t>VHFU-057</t>
  </si>
  <si>
    <t>VHF row 59 (col K:P)</t>
  </si>
  <si>
    <t>VHFU-058</t>
  </si>
  <si>
    <t>VHF row 60 (col K:P)</t>
  </si>
  <si>
    <t>VHFU-059</t>
  </si>
  <si>
    <t>From 'Unknown' list; Unit: CONTAINER YARD</t>
  </si>
  <si>
    <t>VHF row 61 (col K:P)</t>
  </si>
  <si>
    <t>VHFU-060</t>
  </si>
  <si>
    <t>VHF row 62 (col K:P)</t>
  </si>
  <si>
    <t>VHFU-061</t>
  </si>
  <si>
    <t>VHF row 63 (col K:P)</t>
  </si>
  <si>
    <t>VHFU-062</t>
  </si>
  <si>
    <t>From 'Unknown' list; Unit: CARGO OFFICE</t>
  </si>
  <si>
    <t>VHF row 64 (col K:P)</t>
  </si>
  <si>
    <t>VHFU-063</t>
  </si>
  <si>
    <t>VHF row 65 (col K:P)</t>
  </si>
  <si>
    <t>VHFU-064</t>
  </si>
  <si>
    <t>VHF row 66 (col K:P)</t>
  </si>
  <si>
    <t>VHFU-065</t>
  </si>
  <si>
    <t>VHF row 67 (col K:P)</t>
  </si>
  <si>
    <t>VHFU-066</t>
  </si>
  <si>
    <t>VHF row 68 (col K:P)</t>
  </si>
  <si>
    <t>VHFU-067</t>
  </si>
  <si>
    <t>From 'Unknown' list; Unit: COD 17/12; COD 17/12</t>
  </si>
  <si>
    <t>VHF row 69 (col K:P)</t>
  </si>
  <si>
    <t>VHFU-068</t>
  </si>
  <si>
    <t>VHF row 70 (col K:P)</t>
  </si>
  <si>
    <t>VHFU-069</t>
  </si>
  <si>
    <t>VHF row 71 (col K:P)</t>
  </si>
  <si>
    <t>VHFU-070</t>
  </si>
  <si>
    <t>VHF row 72 (col K:P)</t>
  </si>
  <si>
    <t>VHFU-071</t>
  </si>
  <si>
    <t>VHF row 73 (col K:P)</t>
  </si>
  <si>
    <t>VHFU-072</t>
  </si>
  <si>
    <t>From 'Unknown' list; Unit: COD 17/17; COD 17/17</t>
  </si>
  <si>
    <t>VHF row 74 (col K:P)</t>
  </si>
  <si>
    <t>VHFU-073</t>
  </si>
  <si>
    <t>VHF row 75 (col K:P)</t>
  </si>
  <si>
    <t>VHFU-074</t>
  </si>
  <si>
    <t>VHF row 76 (col K:P)</t>
  </si>
  <si>
    <t>Movement &amp; Repair Log</t>
  </si>
  <si>
    <t>Date</t>
  </si>
  <si>
    <t>Device Name</t>
  </si>
  <si>
    <t>Action</t>
  </si>
  <si>
    <t>From</t>
  </si>
  <si>
    <t>To</t>
  </si>
  <si>
    <t>Assigned To</t>
  </si>
  <si>
    <t>Done By</t>
  </si>
  <si>
    <t>Notes</t>
  </si>
  <si>
    <t>Register Location Now</t>
  </si>
  <si>
    <t>Add one row per event (issue, return, transfer, repair, verification). Pick the Asset ID — device name and type fill in automatically. Then update Location/Status on the Asset Register.</t>
  </si>
  <si>
    <t>Device Inventory Dashboard</t>
  </si>
  <si>
    <t>Total Devices</t>
  </si>
  <si>
    <t>Verify Due</t>
  </si>
  <si>
    <t>Status by Device Type</t>
  </si>
  <si>
    <t>Device Type</t>
  </si>
  <si>
    <t>Total</t>
  </si>
  <si>
    <t>Devices by Location</t>
  </si>
  <si>
    <t>(No location)</t>
  </si>
  <si>
    <t>Data Quality Checks</t>
  </si>
  <si>
    <t>Check</t>
  </si>
  <si>
    <t>Count</t>
  </si>
  <si>
    <t>Missing serial / IMEI</t>
  </si>
  <si>
    <t>Duplicate serial / IMEI</t>
  </si>
  <si>
    <t>Duplicate device name</t>
  </si>
  <si>
    <t>Missing location</t>
  </si>
  <si>
    <t>Verification due</t>
  </si>
  <si>
    <t>Filter the Flags column on the Asset Register to see the rows.</t>
  </si>
  <si>
    <t>Quick Asset Lookup</t>
  </si>
  <si>
    <t>Enter Asset ID →</t>
  </si>
  <si>
    <t>Last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</si>
</sst>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;\(#,##0\);\-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8"/>
      <color rgb="FF1F3864"/>
      <name val="Calibri"/>
      <family val="2"/>
      <scheme val="minor"/>
    </font>
    <font>
      <b/>
      <sz val="20"/>
      <color rgb="FF1F3864"/>
      <name val="Calibri"/>
      <family val="2"/>
      <scheme val="minor"/>
    </font>
    <font>
      <b/>
      <sz val="20"/>
      <color rgb="FF006100"/>
      <name val="Calibri"/>
      <family val="2"/>
      <scheme val="minor"/>
    </font>
    <font>
      <b/>
      <sz val="20"/>
      <color rgb="FF1F4E78"/>
      <name val="Calibri"/>
      <family val="2"/>
      <scheme val="minor"/>
    </font>
    <font>
      <b/>
      <sz val="20"/>
      <color rgb="FF9C5700"/>
      <name val="Calibri"/>
      <family val="2"/>
      <scheme val="minor"/>
    </font>
    <font>
      <b/>
      <sz val="20"/>
      <color rgb="FF9C0006"/>
      <name val="Calibri"/>
      <family val="2"/>
      <scheme val="minor"/>
    </font>
    <font>
      <b/>
      <sz val="20"/>
      <color rgb="FF595959"/>
      <name val="Calibri"/>
      <family val="2"/>
      <scheme val="minor"/>
    </font>
    <font>
      <b/>
      <sz val="20"/>
      <color rgb="FFC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3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/>
    <xf numFmtId="0" fontId="9" fillId="1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49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14" fillId="0" borderId="0" xfId="0" applyFont="1"/>
    <xf numFmtId="0" fontId="15" fillId="0" borderId="0" xfId="0" applyFont="1"/>
    <xf numFmtId="0" fontId="13" fillId="0" borderId="0" xfId="0" applyFont="1"/>
    <xf numFmtId="0" fontId="9" fillId="12" borderId="0" xfId="0" applyFont="1" applyFill="1" applyAlignment="1">
      <alignment horizontal="center" wrapText="1"/>
    </xf>
    <xf numFmtId="165" fontId="16" fillId="13" borderId="0" xfId="0" applyNumberFormat="1" applyFont="1" applyFill="1" applyAlignment="1">
      <alignment horizontal="center" vertical="center"/>
    </xf>
    <xf numFmtId="165" fontId="17" fillId="13" borderId="0" xfId="0" applyNumberFormat="1" applyFont="1" applyFill="1" applyAlignment="1">
      <alignment horizontal="center" vertical="center"/>
    </xf>
    <xf numFmtId="165" fontId="18" fillId="13" borderId="0" xfId="0" applyNumberFormat="1" applyFont="1" applyFill="1" applyAlignment="1">
      <alignment horizontal="center" vertical="center"/>
    </xf>
    <xf numFmtId="165" fontId="19" fillId="13" borderId="0" xfId="0" applyNumberFormat="1" applyFont="1" applyFill="1" applyAlignment="1">
      <alignment horizontal="center" vertical="center"/>
    </xf>
    <xf numFmtId="165" fontId="20" fillId="13" borderId="0" xfId="0" applyNumberFormat="1" applyFont="1" applyFill="1" applyAlignment="1">
      <alignment horizontal="center" vertical="center"/>
    </xf>
    <xf numFmtId="165" fontId="21" fillId="13" borderId="0" xfId="0" applyNumberFormat="1" applyFont="1" applyFill="1" applyAlignment="1">
      <alignment horizontal="center" vertical="center"/>
    </xf>
    <xf numFmtId="165" fontId="22" fillId="13" borderId="0" xfId="0" applyNumberFormat="1" applyFont="1" applyFill="1" applyAlignment="1">
      <alignment horizontal="center" vertical="center"/>
    </xf>
    <xf numFmtId="0" fontId="23" fillId="0" borderId="0" xfId="0" applyFont="1"/>
    <xf numFmtId="0" fontId="24" fillId="11" borderId="0" xfId="0" applyFont="1" applyFill="1"/>
    <xf numFmtId="0" fontId="25" fillId="0" borderId="0" xfId="0" applyFont="1"/>
    <xf numFmtId="0" fontId="7" fillId="14" borderId="0" xfId="0" applyFont="1" applyFill="1" applyAlignment="1">
      <alignment horizontal="center" wrapText="1"/>
    </xf>
    <xf numFmtId="0" fontId="7" fillId="14" borderId="0" xfId="0" applyFont="1" applyFill="1" applyAlignment="1">
      <alignment horizontal="left" wrapText="1"/>
    </xf>
    <xf numFmtId="0" fontId="7" fillId="0" borderId="12" xfId="0" applyFont="1" applyBorder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1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6" fillId="14" borderId="0" xfId="0" applyFont="1" applyFill="1" applyAlignment="1">
      <alignment horizontal="center" wrapText="1"/>
    </xf>
  </cellXfs>
  <cellStyles count="1">
    <cellStyle name="Normal" xfId="0" builtinId="0"/>
  </cellStyles>
  <dxfs count="59">
    <dxf>
      <font>
        <color rgb="FFC00000"/>
      </font>
    </dxf>
    <dxf>
      <font>
        <color rgb="FF008000"/>
      </font>
    </dxf>
    <dxf>
      <font>
        <color rgb="FF008000"/>
      </font>
    </dxf>
    <dxf>
      <font>
        <color rgb="FF008000"/>
      </font>
    </dxf>
    <dxf>
      <numFmt numFmtId="164" formatCode="dd\.mm\.yyyy"/>
    </dxf>
    <dxf>
      <font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595959"/>
      </font>
      <fill>
        <patternFill patternType="solid">
          <fgColor indexed="64"/>
          <bgColor rgb="FFEDEDED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1F4E78"/>
      </font>
      <fill>
        <patternFill patternType="solid">
          <fgColor indexed="64"/>
          <bgColor rgb="FFDDEBF7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alignment vertical="center" wrapText="1"/>
    </dxf>
    <dxf>
      <numFmt numFmtId="1" formatCode="0"/>
    </dxf>
    <dxf>
      <numFmt numFmtId="164" formatCode="dd\.mm\.yyyy"/>
    </dxf>
    <dxf>
      <numFmt numFmtId="164" formatCode="dd\.mm\.yyyy"/>
    </dxf>
    <dxf>
      <numFmt numFmtId="164" formatCode="dd\.mm\.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Devices by Type and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V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In Use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Dashboard!$C$9:$C$12</c:f>
              <c:numCache>
                <c:formatCode>#,##0;\(#,##0\);\-</c:formatCode>
                <c:ptCount val="4"/>
                <c:pt idx="0">
                  <c:v>37</c:v>
                </c:pt>
                <c:pt idx="1">
                  <c:v>20</c:v>
                </c:pt>
                <c:pt idx="2">
                  <c:v>46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A-468D-901D-894FC7096C4C}"/>
            </c:ext>
          </c:extLst>
        </c:ser>
        <c:ser>
          <c:idx val="1"/>
          <c:order val="1"/>
          <c:tx>
            <c:strRef>
              <c:f>Dashboard!$D$8</c:f>
              <c:strCache>
                <c:ptCount val="1"/>
                <c:pt idx="0">
                  <c:v>In Stock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Dashboard!$D$9:$D$12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A-468D-901D-894FC7096C4C}"/>
            </c:ext>
          </c:extLst>
        </c:ser>
        <c:ser>
          <c:idx val="2"/>
          <c:order val="2"/>
          <c:tx>
            <c:strRef>
              <c:f>Dashboard!$E$8</c:f>
              <c:strCache>
                <c:ptCount val="1"/>
                <c:pt idx="0">
                  <c:v>Under Repair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Dashboard!$E$9:$E$12</c:f>
              <c:numCache>
                <c:formatCode>#,##0;\(#,##0\);\-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A-468D-901D-894FC7096C4C}"/>
            </c:ext>
          </c:extLst>
        </c:ser>
        <c:ser>
          <c:idx val="3"/>
          <c:order val="3"/>
          <c:tx>
            <c:strRef>
              <c:f>Dashboard!$F$8</c:f>
              <c:strCache>
                <c:ptCount val="1"/>
                <c:pt idx="0">
                  <c:v>Damaged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Dashboard!$F$9:$F$12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A-468D-901D-894FC7096C4C}"/>
            </c:ext>
          </c:extLst>
        </c:ser>
        <c:ser>
          <c:idx val="4"/>
          <c:order val="4"/>
          <c:tx>
            <c:strRef>
              <c:f>Dashboard!$G$8</c:f>
              <c:strCache>
                <c:ptCount val="1"/>
                <c:pt idx="0">
                  <c:v>Unverified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Dashboard!$G$9:$G$12</c:f>
              <c:numCache>
                <c:formatCode>#,##0;\(#,##0\);\-</c:formatCode>
                <c:ptCount val="4"/>
                <c:pt idx="0">
                  <c:v>7</c:v>
                </c:pt>
                <c:pt idx="1">
                  <c:v>0</c:v>
                </c:pt>
                <c:pt idx="2">
                  <c:v>2</c:v>
                </c:pt>
                <c:pt idx="3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9A-468D-901D-894FC7096C4C}"/>
            </c:ext>
          </c:extLst>
        </c:ser>
        <c:ser>
          <c:idx val="5"/>
          <c:order val="5"/>
          <c:tx>
            <c:strRef>
              <c:f>Dashboard!$H$8</c:f>
              <c:strCache>
                <c:ptCount val="1"/>
                <c:pt idx="0">
                  <c:v>Not in Use</c:v>
                </c:pt>
              </c:strCache>
            </c:strRef>
          </c:tx>
          <c:spPr>
            <a:solidFill>
              <a:srgbClr val="7F6000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Dashboard!$H$9:$H$12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9A-468D-901D-894FC7096C4C}"/>
            </c:ext>
          </c:extLst>
        </c:ser>
        <c:ser>
          <c:idx val="6"/>
          <c:order val="6"/>
          <c:tx>
            <c:strRef>
              <c:f>Dashboard!$I$8</c:f>
              <c:strCache>
                <c:ptCount val="1"/>
                <c:pt idx="0">
                  <c:v>Disposed</c:v>
                </c:pt>
              </c:strCache>
            </c:strRef>
          </c:tx>
          <c:spPr>
            <a:solidFill>
              <a:srgbClr val="404040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Dashboard!$I$9:$I$12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9A-468D-901D-894FC7096C4C}"/>
            </c:ext>
          </c:extLst>
        </c:ser>
        <c:ser>
          <c:idx val="7"/>
          <c:order val="7"/>
          <c:tx>
            <c:strRef>
              <c:f>Dashboard!$J$8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Dashboard!$B$9:$B$12</c:f>
              <c:strCache>
                <c:ptCount val="4"/>
                <c:pt idx="0">
                  <c:v>Tablet 8"</c:v>
                </c:pt>
                <c:pt idx="1">
                  <c:v>Tablet 10"</c:v>
                </c:pt>
                <c:pt idx="2">
                  <c:v>PC</c:v>
                </c:pt>
                <c:pt idx="3">
                  <c:v>VHF</c:v>
                </c:pt>
              </c:strCache>
            </c:strRef>
          </c:cat>
          <c:val>
            <c:numRef>
              <c:f>Dashboard!$J$9:$J$12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9A-468D-901D-894FC7096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7295568"/>
        <c:axId val="1162147920"/>
      </c:barChart>
      <c:catAx>
        <c:axId val="1107295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V"/>
          </a:p>
        </c:txPr>
        <c:crossAx val="1162147920"/>
        <c:crosses val="autoZero"/>
        <c:auto val="1"/>
        <c:lblAlgn val="ctr"/>
        <c:lblOffset val="100"/>
        <c:noMultiLvlLbl val="0"/>
      </c:catAx>
      <c:valAx>
        <c:axId val="116214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V"/>
          </a:p>
        </c:txPr>
        <c:crossAx val="11072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V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36</xdr:row>
      <xdr:rowOff>0</xdr:rowOff>
    </xdr:from>
    <xdr:to>
      <xdr:col>11</xdr:col>
      <xdr:colOff>0</xdr:colOff>
      <xdr:row>55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63E3C-03DF-7E58-6F7D-75424E8B8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3D7741-7536-442E-9B56-C1E0443E196D}" name="Register" displayName="Register" ref="A4:U284" totalsRowShown="0" headerRowDxfId="12">
  <autoFilter ref="A4:U284" xr:uid="{113D7741-7536-442E-9B56-C1E0443E196D}"/>
  <tableColumns count="21">
    <tableColumn id="1" xr3:uid="{393EDBC2-2D2D-4F4E-9B7C-121669321AEE}" name="Asset ID"/>
    <tableColumn id="2" xr3:uid="{F1D9065B-EFAA-4127-A56D-01EF56ADBCE6}" name="Asset Type"/>
    <tableColumn id="3" xr3:uid="{F5252024-F1F1-4145-A1A7-7D1AE668BD5D}" name="Device Name / Code"/>
    <tableColumn id="4" xr3:uid="{9C760F52-B938-4281-878E-CA49AFC9E18A}" name="Brand"/>
    <tableColumn id="5" xr3:uid="{627AED02-1449-4BB4-943D-523E66C21324}" name="Model"/>
    <tableColumn id="6" xr3:uid="{E69EF099-BFD7-46BA-8F6B-0E4B8373FF55}" name="Serial / IMEI" dataDxfId="21"/>
    <tableColumn id="7" xr3:uid="{EBC1EFCB-0448-4446-B5C1-4C3B26D4CE6F}" name="Inventory No." dataDxfId="20"/>
    <tableColumn id="8" xr3:uid="{24EDB14B-BB8A-4BFB-AE79-AE3CD523CF50}" name="Asset No." dataDxfId="19"/>
    <tableColumn id="9" xr3:uid="{5FA1DB62-7E1A-441B-9DCE-5FB2D4980107}" name="Alt Ref No." dataDxfId="18"/>
    <tableColumn id="10" xr3:uid="{9D37431C-7B44-4833-9E05-010ACD22160E}" name="SIM / Operator" dataDxfId="17"/>
    <tableColumn id="11" xr3:uid="{97F0D51D-D7F4-4CE0-8D48-1CE16AC5CCC2}" name="Location"/>
    <tableColumn id="12" xr3:uid="{54E43560-7C21-4710-86AD-6E379E5B917C}" name="Assigned To / Shift"/>
    <tableColumn id="13" xr3:uid="{08D7D477-3818-47D4-8237-C1ACCC965A68}" name="Status"/>
    <tableColumn id="14" xr3:uid="{91FCC1C2-73E5-4862-9918-6DB12E6B349E}" name="Issued Date" dataDxfId="16"/>
    <tableColumn id="15" xr3:uid="{8EA12E4A-01ED-412A-92DF-DC7DD43ABBB8}" name="Last OS Update" dataDxfId="15"/>
    <tableColumn id="16" xr3:uid="{C00C38A9-1BC4-46D6-81CD-9A3B78CAFFB3}" name="Last Verified" dataDxfId="14"/>
    <tableColumn id="17" xr3:uid="{339EC9B0-0CEF-408B-A856-D53AC03D1FE8}" name="Days Since Verified" dataDxfId="13">
      <calculatedColumnFormula>IF(Register[[#This Row],[Last Verified]]="","",TODAY()-Register[[#This Row],[Last Verified]])</calculatedColumnFormula>
    </tableColumn>
    <tableColumn id="18" xr3:uid="{53F992EE-BA69-4B3F-AA57-60D38A4C5216}" name="Flags">
      <calculatedColumnFormula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calculatedColumnFormula>
    </tableColumn>
    <tableColumn id="19" xr3:uid="{7A40EBF5-2A2F-48E6-83A3-F0B72A208F73}" name="Repair History"/>
    <tableColumn id="20" xr3:uid="{C7A2EC82-AAFB-4B60-A172-74439A8A03EB}" name="Remarks"/>
    <tableColumn id="21" xr3:uid="{51139DE4-45FF-47E5-8162-3F2E5B17AABD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736110-784C-41A9-A5C2-C25BC156D7E9}" name="MoveLog" displayName="MoveLog" ref="A4:K5" totalsRowShown="0">
  <autoFilter ref="A4:K5" xr:uid="{46736110-784C-41A9-A5C2-C25BC156D7E9}"/>
  <tableColumns count="11">
    <tableColumn id="1" xr3:uid="{A6A7AECF-4BD9-4064-B653-627EC3176526}" name="Date" dataDxfId="4"/>
    <tableColumn id="2" xr3:uid="{4E2682E7-2832-49C7-91AD-171AA05527B7}" name="Asset ID"/>
    <tableColumn id="3" xr3:uid="{8CE34175-38AA-467F-9A29-D4C3D93E010E}" name="Device Name" dataDxfId="3">
      <calculatedColumnFormula>IF(MoveLog[[#This Row],[Asset ID]]="","",_xlfn.XLOOKUP(MoveLog[[#This Row],[Asset ID]],Register[Asset ID],Register[Device Name / Code],"Not found"))</calculatedColumnFormula>
    </tableColumn>
    <tableColumn id="4" xr3:uid="{C7795F9E-7C99-4ACB-A5D9-EFF904E60AAD}" name="Asset Type" dataDxfId="2">
      <calculatedColumnFormula>IF(MoveLog[[#This Row],[Asset ID]]="","",_xlfn.XLOOKUP(MoveLog[[#This Row],[Asset ID]],Register[Asset ID],Register[Asset Type],"Not found"))</calculatedColumnFormula>
    </tableColumn>
    <tableColumn id="5" xr3:uid="{E5674297-DB91-45A9-8647-FB767781CF71}" name="Action"/>
    <tableColumn id="6" xr3:uid="{9AB5DBBB-C3BC-4E87-8557-F48280AC2F71}" name="From"/>
    <tableColumn id="7" xr3:uid="{DA22908D-67EF-40D6-BE56-5E4E24D23820}" name="To"/>
    <tableColumn id="8" xr3:uid="{63F00C84-176F-4227-8795-6FB3E281B4FF}" name="Assigned To"/>
    <tableColumn id="9" xr3:uid="{1BAB898D-5C28-4BDC-9196-1CE841F14006}" name="Done By"/>
    <tableColumn id="10" xr3:uid="{0D57775E-B5F1-4F3D-8270-023E675B2DEE}" name="Notes"/>
    <tableColumn id="11" xr3:uid="{C24B85B5-E287-4120-AB21-745699DBD10D}" name="Register Location Now" dataDxfId="1">
      <calculatedColumnFormula>IF(MoveLog[[#This Row],[Asset ID]]="","",_xlfn.XLOOKUP(MoveLog[[#This Row],[Asset ID]],Register[Asset ID],Register[Location],"")&amp;"")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35EFE-AFC3-47A3-8FE0-928766BB669F}" name="Table1" displayName="Table1" ref="A2:K22" totalsRowShown="0" headerRowDxfId="58" headerRowBorderDxfId="57" tableBorderDxfId="56">
  <autoFilter ref="A2:K22" xr:uid="{BFD35EFE-AFC3-47A3-8FE0-928766BB669F}">
    <filterColumn colId="7">
      <filters>
        <filter val="A"/>
        <filter val="B"/>
        <filter val="C"/>
        <filter val="C - 07.07.2026"/>
        <filter val="C-Yard"/>
        <filter val="C-Yard - Thilafushi"/>
      </filters>
    </filterColumn>
  </autoFilter>
  <sortState xmlns:xlrd2="http://schemas.microsoft.com/office/spreadsheetml/2017/richdata2" ref="A3:K22">
    <sortCondition ref="B3:B22"/>
  </sortState>
  <tableColumns count="11">
    <tableColumn id="1" xr3:uid="{D4809B31-DE01-4A91-9ECC-4E3B4699101E}" name="#" dataDxfId="55"/>
    <tableColumn id="2" xr3:uid="{5982E3C9-8188-4FB4-A29A-16EBE7CE6A78}" name="TAB No."/>
    <tableColumn id="3" xr3:uid="{E8042BCD-90E9-4EFD-A95C-76B55F5D01ED}" name="Opt"/>
    <tableColumn id="12" xr3:uid="{995E68B3-F985-4433-95F7-4EBD913E2817}" name="Sim No." dataDxfId="54"/>
    <tableColumn id="4" xr3:uid="{BBCFE750-9129-45EA-BB34-652BB66D00A0}" name="IMEI" dataDxfId="53"/>
    <tableColumn id="5" xr3:uid="{4DFAE0D9-AB59-49B8-8C94-5995FF39C359}" name="Inventory Number"/>
    <tableColumn id="6" xr3:uid="{0E3E5011-0490-4FE3-8AEF-E2AA0DCD8FCB}" name="Asset number"/>
    <tableColumn id="7" xr3:uid="{F25678E3-CF34-4AB9-A107-E686FA13417C}" name="Location" dataDxfId="52"/>
    <tableColumn id="8" xr3:uid="{5B8ECC39-E0DB-47F3-A32D-0748C74EB5D2}" name="Last OS update"/>
    <tableColumn id="9" xr3:uid="{065281BB-F925-47DF-94FE-C6B1DF60C9D0}" name="Remarks"/>
    <tableColumn id="10" xr3:uid="{23E6A903-7CA0-4A94-97C3-A10AECDD3A0E}" name="Repai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D0A7CA-6FBE-4466-BE24-63ECACFC42E7}" name="Table3" displayName="Table3" ref="A1:I50" totalsRowShown="0" headerRowDxfId="51" dataDxfId="49" headerRowBorderDxfId="50">
  <autoFilter ref="A1:I50" xr:uid="{74D0A7CA-6FBE-4466-BE24-63ECACFC42E7}"/>
  <tableColumns count="9">
    <tableColumn id="1" xr3:uid="{5C9D8767-6673-49FB-B05B-78363F5836F3}" name="#" dataDxfId="48"/>
    <tableColumn id="2" xr3:uid="{4B51CB78-97F0-49F1-A531-A5FE65AF8958}" name="PC NAME" dataDxfId="47"/>
    <tableColumn id="3" xr3:uid="{29E781FD-B97C-4648-8A64-83C739B002AF}" name="Inventoy Number" dataDxfId="46"/>
    <tableColumn id="10" xr3:uid="{4DEED03C-5694-41AE-BC80-FFE73C7D3AFD}" name="Asset number" dataDxfId="45">
      <calculatedColumnFormula>PROPER(Table3[[#This Row],[Inventoy Number]])</calculatedColumnFormula>
    </tableColumn>
    <tableColumn id="12" xr3:uid="{7852E9F1-143D-425C-99D6-0EAB7342A6DD}" name="Number of Monitors" dataDxfId="44"/>
    <tableColumn id="4" xr3:uid="{80ADDB8B-9B43-44AB-91A1-FE1CF5AF12AC}" name="Location (Office/Yard)" dataDxfId="43"/>
    <tableColumn id="11" xr3:uid="{FCF8AFB0-0285-4ECC-BE58-3E34D5EAE5C3}" name="In use (Yard IC/Formans/Tally/Stevedore/Ops mathi)" dataDxfId="42"/>
    <tableColumn id="5" xr3:uid="{82738109-A6FC-415E-9CA9-DB32F5B81BEF}" name="Recivied Date" dataDxfId="41"/>
    <tableColumn id="8" xr3:uid="{3297A4E6-FCF2-4CED-A9AB-6BA72EE2645E}" name="Remarks" dataDxfId="40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BA8A94-AF45-4133-BAC6-F2AB0B0A33FB}" name="Table2" displayName="Table2" ref="A2:G93" totalsRowShown="0" headerRowDxfId="39" dataDxfId="37" headerRowBorderDxfId="38" tableBorderDxfId="36">
  <autoFilter ref="A2:G93" xr:uid="{D8BA8A94-AF45-4133-BAC6-F2AB0B0A33FB}"/>
  <tableColumns count="7">
    <tableColumn id="1" xr3:uid="{F7440D22-E632-4100-9725-43BE9609E7B8}" name="#" dataDxfId="35"/>
    <tableColumn id="2" xr3:uid="{6CAA6668-BEA6-4480-87C4-6DF520DF539A}" name="LOCAL CODE" dataDxfId="34"/>
    <tableColumn id="3" xr3:uid="{EAD78967-2078-4922-A446-62DFD523B66A}" name="MPL CODE" dataDxfId="33"/>
    <tableColumn id="4" xr3:uid="{91DBEE6C-E3DA-4E66-8CA1-0A7BF9AAA3F0}" name="BRAND" dataDxfId="32"/>
    <tableColumn id="5" xr3:uid="{08DBA2E5-84C6-4752-BA0B-34CB281C0612}" name="SERIAL NO" dataDxfId="31"/>
    <tableColumn id="6" xr3:uid="{B420BD70-758E-44D4-ACED-EB3DE7CA5985}" name="UNIT" dataDxfId="30"/>
    <tableColumn id="7" xr3:uid="{934DB5D3-1C72-4F0A-91CB-6565775F22BC}" name="MCH/ HIT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FFFF1D-0BFA-410D-8762-21AA5BDB3843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856d283-c68c-4db3-8b60-9fb6a17e844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64A6C-9A05-4D71-8CD0-79DD6DF974FB}">
  <dimension ref="B1:N34"/>
  <sheetViews>
    <sheetView showGridLines="0" workbookViewId="0"/>
  </sheetViews>
  <sheetFormatPr defaultRowHeight="15" x14ac:dyDescent="0.25"/>
  <cols>
    <col min="1" max="1" width="2.28515625" customWidth="1"/>
    <col min="2" max="2" width="22.85546875" customWidth="1"/>
    <col min="3" max="11" width="13.7109375" customWidth="1"/>
    <col min="12" max="12" width="3.85546875" customWidth="1"/>
    <col min="13" max="13" width="22.85546875" customWidth="1"/>
    <col min="14" max="14" width="38.140625" customWidth="1"/>
  </cols>
  <sheetData>
    <row r="1" spans="2:14" ht="23.25" x14ac:dyDescent="0.35">
      <c r="B1" s="62" t="s">
        <v>1560</v>
      </c>
    </row>
    <row r="2" spans="2:14" x14ac:dyDescent="0.25">
      <c r="B2" s="63" t="str">
        <f ca="1">"As of "&amp;TEXT(TODAY(),"dd.mm.yyyy")&amp;"  •  Source: Asset Register"</f>
        <v>As of 24.09.2026  •  Source: Asset Register</v>
      </c>
    </row>
    <row r="4" spans="2:14" x14ac:dyDescent="0.25">
      <c r="B4" s="64" t="s">
        <v>1561</v>
      </c>
      <c r="C4" s="64" t="s">
        <v>720</v>
      </c>
      <c r="D4" s="64" t="s">
        <v>721</v>
      </c>
      <c r="E4" s="64" t="s">
        <v>722</v>
      </c>
      <c r="F4" s="64" t="s">
        <v>171</v>
      </c>
      <c r="G4" s="64" t="s">
        <v>723</v>
      </c>
      <c r="H4" s="64" t="s">
        <v>1562</v>
      </c>
    </row>
    <row r="5" spans="2:14" ht="33.950000000000003" customHeight="1" x14ac:dyDescent="0.25">
      <c r="B5" s="65">
        <f>ROWS(Register[Asset ID])</f>
        <v>280</v>
      </c>
      <c r="C5" s="66">
        <f>COUNTIF(Register[Status],"In Use")</f>
        <v>179</v>
      </c>
      <c r="D5" s="67">
        <f>COUNTIF(Register[Status],"In Stock")</f>
        <v>8</v>
      </c>
      <c r="E5" s="68">
        <f>COUNTIF(Register[Status],"Under Repair")</f>
        <v>2</v>
      </c>
      <c r="F5" s="69">
        <f>COUNTIF(Register[Status],"Damaged")</f>
        <v>7</v>
      </c>
      <c r="G5" s="70">
        <f>COUNTIF(Register[Status],"Unverified")</f>
        <v>83</v>
      </c>
      <c r="H5" s="71">
        <f ca="1">COUNTIF(Register[Flags],"*Verify due*")</f>
        <v>280</v>
      </c>
    </row>
    <row r="7" spans="2:14" ht="15.75" x14ac:dyDescent="0.25">
      <c r="B7" s="74" t="s">
        <v>1563</v>
      </c>
      <c r="M7" s="74" t="s">
        <v>1568</v>
      </c>
    </row>
    <row r="8" spans="2:14" x14ac:dyDescent="0.25">
      <c r="B8" s="76" t="s">
        <v>1564</v>
      </c>
      <c r="C8" s="82" t="str">
        <f>Lists!$B$2</f>
        <v>In Use</v>
      </c>
      <c r="D8" s="82" t="str">
        <f>Lists!$B$3</f>
        <v>In Stock</v>
      </c>
      <c r="E8" s="82" t="str">
        <f>Lists!$B$4</f>
        <v>Under Repair</v>
      </c>
      <c r="F8" s="82" t="str">
        <f>Lists!$B$5</f>
        <v>Damaged</v>
      </c>
      <c r="G8" s="82" t="str">
        <f>Lists!$B$6</f>
        <v>Unverified</v>
      </c>
      <c r="H8" s="82" t="str">
        <f>Lists!$B$7</f>
        <v>Not in Use</v>
      </c>
      <c r="I8" s="82" t="str">
        <f>Lists!$B$8</f>
        <v>Disposed</v>
      </c>
      <c r="J8" s="82" t="str">
        <f>Lists!$B$9</f>
        <v>Lost</v>
      </c>
      <c r="K8" s="75" t="s">
        <v>1565</v>
      </c>
      <c r="M8" s="76" t="s">
        <v>1569</v>
      </c>
      <c r="N8" s="75" t="s">
        <v>1570</v>
      </c>
    </row>
    <row r="9" spans="2:14" x14ac:dyDescent="0.25">
      <c r="B9" s="61" t="str">
        <f>Lists!$A$2</f>
        <v>Tablet 8"</v>
      </c>
      <c r="C9" s="78">
        <f>COUNTIFS(Register[Asset Type],$B9,Register[Status],C$8)</f>
        <v>37</v>
      </c>
      <c r="D9" s="78">
        <f>COUNTIFS(Register[Asset Type],$B9,Register[Status],D$8)</f>
        <v>0</v>
      </c>
      <c r="E9" s="78">
        <f>COUNTIFS(Register[Asset Type],$B9,Register[Status],E$8)</f>
        <v>2</v>
      </c>
      <c r="F9" s="78">
        <f>COUNTIFS(Register[Asset Type],$B9,Register[Status],F$8)</f>
        <v>0</v>
      </c>
      <c r="G9" s="78">
        <f>COUNTIFS(Register[Asset Type],$B9,Register[Status],G$8)</f>
        <v>7</v>
      </c>
      <c r="H9" s="78">
        <f>COUNTIFS(Register[Asset Type],$B9,Register[Status],H$8)</f>
        <v>0</v>
      </c>
      <c r="I9" s="78">
        <f>COUNTIFS(Register[Asset Type],$B9,Register[Status],I$8)</f>
        <v>0</v>
      </c>
      <c r="J9" s="78">
        <f>COUNTIFS(Register[Asset Type],$B9,Register[Status],J$8)</f>
        <v>0</v>
      </c>
      <c r="K9" s="79">
        <f>COUNTIF(Register[Asset Type],$B9)</f>
        <v>46</v>
      </c>
      <c r="M9" t="s">
        <v>1571</v>
      </c>
      <c r="N9" s="78">
        <f ca="1">COUNTIF(Register[Flags],"*No serial*")</f>
        <v>55</v>
      </c>
    </row>
    <row r="10" spans="2:14" x14ac:dyDescent="0.25">
      <c r="B10" s="61" t="str">
        <f>Lists!$A$3</f>
        <v>Tablet 10"</v>
      </c>
      <c r="C10" s="78">
        <f>COUNTIFS(Register[Asset Type],$B10,Register[Status],C$8)</f>
        <v>20</v>
      </c>
      <c r="D10" s="78">
        <f>COUNTIFS(Register[Asset Type],$B10,Register[Status],D$8)</f>
        <v>0</v>
      </c>
      <c r="E10" s="78">
        <f>COUNTIFS(Register[Asset Type],$B10,Register[Status],E$8)</f>
        <v>0</v>
      </c>
      <c r="F10" s="78">
        <f>COUNTIFS(Register[Asset Type],$B10,Register[Status],F$8)</f>
        <v>0</v>
      </c>
      <c r="G10" s="78">
        <f>COUNTIFS(Register[Asset Type],$B10,Register[Status],G$8)</f>
        <v>0</v>
      </c>
      <c r="H10" s="78">
        <f>COUNTIFS(Register[Asset Type],$B10,Register[Status],H$8)</f>
        <v>0</v>
      </c>
      <c r="I10" s="78">
        <f>COUNTIFS(Register[Asset Type],$B10,Register[Status],I$8)</f>
        <v>0</v>
      </c>
      <c r="J10" s="78">
        <f>COUNTIFS(Register[Asset Type],$B10,Register[Status],J$8)</f>
        <v>0</v>
      </c>
      <c r="K10" s="79">
        <f>COUNTIF(Register[Asset Type],$B10)</f>
        <v>20</v>
      </c>
      <c r="M10" t="s">
        <v>1572</v>
      </c>
      <c r="N10" s="78">
        <f ca="1">COUNTIF(Register[Flags],"*Duplicate serial*")</f>
        <v>4</v>
      </c>
    </row>
    <row r="11" spans="2:14" x14ac:dyDescent="0.25">
      <c r="B11" s="61" t="str">
        <f>Lists!$A$4</f>
        <v>PC</v>
      </c>
      <c r="C11" s="78">
        <f>COUNTIFS(Register[Asset Type],$B11,Register[Status],C$8)</f>
        <v>46</v>
      </c>
      <c r="D11" s="78">
        <f>COUNTIFS(Register[Asset Type],$B11,Register[Status],D$8)</f>
        <v>0</v>
      </c>
      <c r="E11" s="78">
        <f>COUNTIFS(Register[Asset Type],$B11,Register[Status],E$8)</f>
        <v>0</v>
      </c>
      <c r="F11" s="78">
        <f>COUNTIFS(Register[Asset Type],$B11,Register[Status],F$8)</f>
        <v>0</v>
      </c>
      <c r="G11" s="78">
        <f>COUNTIFS(Register[Asset Type],$B11,Register[Status],G$8)</f>
        <v>2</v>
      </c>
      <c r="H11" s="78">
        <f>COUNTIFS(Register[Asset Type],$B11,Register[Status],H$8)</f>
        <v>1</v>
      </c>
      <c r="I11" s="78">
        <f>COUNTIFS(Register[Asset Type],$B11,Register[Status],I$8)</f>
        <v>0</v>
      </c>
      <c r="J11" s="78">
        <f>COUNTIFS(Register[Asset Type],$B11,Register[Status],J$8)</f>
        <v>0</v>
      </c>
      <c r="K11" s="79">
        <f>COUNTIF(Register[Asset Type],$B11)</f>
        <v>49</v>
      </c>
      <c r="M11" t="s">
        <v>1573</v>
      </c>
      <c r="N11" s="78">
        <f ca="1">COUNTIF(Register[Flags],"*Duplicate name*")</f>
        <v>2</v>
      </c>
    </row>
    <row r="12" spans="2:14" x14ac:dyDescent="0.25">
      <c r="B12" s="61" t="str">
        <f>Lists!$A$5</f>
        <v>VHF</v>
      </c>
      <c r="C12" s="78">
        <f>COUNTIFS(Register[Asset Type],$B12,Register[Status],C$8)</f>
        <v>76</v>
      </c>
      <c r="D12" s="78">
        <f>COUNTIFS(Register[Asset Type],$B12,Register[Status],D$8)</f>
        <v>8</v>
      </c>
      <c r="E12" s="78">
        <f>COUNTIFS(Register[Asset Type],$B12,Register[Status],E$8)</f>
        <v>0</v>
      </c>
      <c r="F12" s="78">
        <f>COUNTIFS(Register[Asset Type],$B12,Register[Status],F$8)</f>
        <v>7</v>
      </c>
      <c r="G12" s="78">
        <f>COUNTIFS(Register[Asset Type],$B12,Register[Status],G$8)</f>
        <v>74</v>
      </c>
      <c r="H12" s="78">
        <f>COUNTIFS(Register[Asset Type],$B12,Register[Status],H$8)</f>
        <v>0</v>
      </c>
      <c r="I12" s="78">
        <f>COUNTIFS(Register[Asset Type],$B12,Register[Status],I$8)</f>
        <v>0</v>
      </c>
      <c r="J12" s="78">
        <f>COUNTIFS(Register[Asset Type],$B12,Register[Status],J$8)</f>
        <v>0</v>
      </c>
      <c r="K12" s="79">
        <f>COUNTIF(Register[Asset Type],$B12)</f>
        <v>165</v>
      </c>
      <c r="M12" t="s">
        <v>1574</v>
      </c>
      <c r="N12" s="78">
        <f ca="1">COUNTIF(Register[Flags],"*No location*")</f>
        <v>118</v>
      </c>
    </row>
    <row r="13" spans="2:14" x14ac:dyDescent="0.25">
      <c r="B13" s="77" t="s">
        <v>1565</v>
      </c>
      <c r="C13" s="80">
        <f>SUM(C9:C12)</f>
        <v>179</v>
      </c>
      <c r="D13" s="80">
        <f>SUM(D9:D12)</f>
        <v>8</v>
      </c>
      <c r="E13" s="80">
        <f>SUM(E9:E12)</f>
        <v>2</v>
      </c>
      <c r="F13" s="80">
        <f>SUM(F9:F12)</f>
        <v>7</v>
      </c>
      <c r="G13" s="80">
        <f>SUM(G9:G12)</f>
        <v>83</v>
      </c>
      <c r="H13" s="80">
        <f>SUM(H9:H12)</f>
        <v>1</v>
      </c>
      <c r="I13" s="80">
        <f>SUM(I9:I12)</f>
        <v>0</v>
      </c>
      <c r="J13" s="80">
        <f>SUM(J9:J12)</f>
        <v>0</v>
      </c>
      <c r="K13" s="80">
        <f>SUM(K9:K12)</f>
        <v>280</v>
      </c>
      <c r="M13" t="s">
        <v>1575</v>
      </c>
      <c r="N13" s="78">
        <f ca="1">COUNTIF(Register[Flags],"*Verify due*")</f>
        <v>280</v>
      </c>
    </row>
    <row r="14" spans="2:14" x14ac:dyDescent="0.25">
      <c r="M14" s="72" t="s">
        <v>1576</v>
      </c>
    </row>
    <row r="16" spans="2:14" ht="15.75" x14ac:dyDescent="0.25">
      <c r="B16" s="74" t="s">
        <v>1566</v>
      </c>
      <c r="M16" s="74" t="s">
        <v>1577</v>
      </c>
    </row>
    <row r="17" spans="2:14" x14ac:dyDescent="0.25">
      <c r="B17" s="76" t="s">
        <v>174</v>
      </c>
      <c r="C17" s="82" t="str">
        <f>Lists!$A$2</f>
        <v>Tablet 8"</v>
      </c>
      <c r="D17" s="82" t="str">
        <f>Lists!$A$3</f>
        <v>Tablet 10"</v>
      </c>
      <c r="E17" s="82" t="str">
        <f>Lists!$A$4</f>
        <v>PC</v>
      </c>
      <c r="F17" s="82" t="str">
        <f>Lists!$A$5</f>
        <v>VHF</v>
      </c>
      <c r="G17" s="75" t="s">
        <v>1565</v>
      </c>
      <c r="M17" t="s">
        <v>1578</v>
      </c>
      <c r="N17" s="73" t="s">
        <v>765</v>
      </c>
    </row>
    <row r="18" spans="2:14" x14ac:dyDescent="0.25">
      <c r="B18" s="61" t="str">
        <f>Lists!$C$2</f>
        <v>COD</v>
      </c>
      <c r="C18" s="78">
        <f>COUNTIFS(Register[Location],$B18,Register[Asset Type],C$17)</f>
        <v>21</v>
      </c>
      <c r="D18" s="78">
        <f>COUNTIFS(Register[Location],$B18,Register[Asset Type],D$17)</f>
        <v>11</v>
      </c>
      <c r="E18" s="78">
        <f>COUNTIFS(Register[Location],$B18,Register[Asset Type],E$17)</f>
        <v>0</v>
      </c>
      <c r="F18" s="78">
        <f>COUNTIFS(Register[Location],$B18,Register[Asset Type],F$17)</f>
        <v>6</v>
      </c>
      <c r="G18" s="79">
        <f>SUM(C18:F18)</f>
        <v>38</v>
      </c>
      <c r="M18" s="63" t="s">
        <v>711</v>
      </c>
      <c r="N18" s="81" t="str">
        <f>IFERROR(_xlfn.XLOOKUP($N$17,Register[Asset ID],Register[Asset Type])&amp;"","Not found")</f>
        <v>Tablet 8"</v>
      </c>
    </row>
    <row r="19" spans="2:14" x14ac:dyDescent="0.25">
      <c r="B19" s="61" t="str">
        <f>Lists!$C$3</f>
        <v>Container Yard</v>
      </c>
      <c r="C19" s="78">
        <f>COUNTIFS(Register[Location],$B19,Register[Asset Type],C$17)</f>
        <v>3</v>
      </c>
      <c r="D19" s="78">
        <f>COUNTIFS(Register[Location],$B19,Register[Asset Type],D$17)</f>
        <v>4</v>
      </c>
      <c r="E19" s="78">
        <f>COUNTIFS(Register[Location],$B19,Register[Asset Type],E$17)</f>
        <v>0</v>
      </c>
      <c r="F19" s="78">
        <f>COUNTIFS(Register[Location],$B19,Register[Asset Type],F$17)</f>
        <v>3</v>
      </c>
      <c r="G19" s="79">
        <f>SUM(C19:F19)</f>
        <v>10</v>
      </c>
      <c r="M19" s="63" t="s">
        <v>749</v>
      </c>
      <c r="N19" s="81" t="str">
        <f>IFERROR(_xlfn.XLOOKUP($N$17,Register[Asset ID],Register[Device Name / Code])&amp;"","Not found")</f>
        <v>Tab 1</v>
      </c>
    </row>
    <row r="20" spans="2:14" x14ac:dyDescent="0.25">
      <c r="B20" s="61" t="str">
        <f>Lists!$C$4</f>
        <v>Thilafushi</v>
      </c>
      <c r="C20" s="78">
        <f>COUNTIFS(Register[Location],$B20,Register[Asset Type],C$17)</f>
        <v>1</v>
      </c>
      <c r="D20" s="78">
        <f>COUNTIFS(Register[Location],$B20,Register[Asset Type],D$17)</f>
        <v>1</v>
      </c>
      <c r="E20" s="78">
        <f>COUNTIFS(Register[Location],$B20,Register[Asset Type],E$17)</f>
        <v>0</v>
      </c>
      <c r="F20" s="78">
        <f>COUNTIFS(Register[Location],$B20,Register[Asset Type],F$17)</f>
        <v>0</v>
      </c>
      <c r="G20" s="79">
        <f>SUM(C20:F20)</f>
        <v>2</v>
      </c>
      <c r="M20" s="63" t="s">
        <v>750</v>
      </c>
      <c r="N20" s="81" t="str">
        <f>IFERROR(_xlfn.XLOOKUP($N$17,Register[Asset ID],Register[Brand])&amp;"","Not found")</f>
        <v/>
      </c>
    </row>
    <row r="21" spans="2:14" x14ac:dyDescent="0.25">
      <c r="B21" s="61" t="str">
        <f>Lists!$C$5</f>
        <v>HMT</v>
      </c>
      <c r="C21" s="78">
        <f>COUNTIFS(Register[Location],$B21,Register[Asset Type],C$17)</f>
        <v>6</v>
      </c>
      <c r="D21" s="78">
        <f>COUNTIFS(Register[Location],$B21,Register[Asset Type],D$17)</f>
        <v>4</v>
      </c>
      <c r="E21" s="78">
        <f>COUNTIFS(Register[Location],$B21,Register[Asset Type],E$17)</f>
        <v>0</v>
      </c>
      <c r="F21" s="78">
        <f>COUNTIFS(Register[Location],$B21,Register[Asset Type],F$17)</f>
        <v>0</v>
      </c>
      <c r="G21" s="79">
        <f>SUM(C21:F21)</f>
        <v>10</v>
      </c>
      <c r="M21" s="63" t="s">
        <v>751</v>
      </c>
      <c r="N21" s="81" t="str">
        <f>IFERROR(_xlfn.XLOOKUP($N$17,Register[Asset ID],Register[Model])&amp;"","Not found")</f>
        <v/>
      </c>
    </row>
    <row r="22" spans="2:14" x14ac:dyDescent="0.25">
      <c r="B22" s="61" t="str">
        <f>Lists!$C$6</f>
        <v>Marine Craft</v>
      </c>
      <c r="C22" s="78">
        <f>COUNTIFS(Register[Location],$B22,Register[Asset Type],C$17)</f>
        <v>5</v>
      </c>
      <c r="D22" s="78">
        <f>COUNTIFS(Register[Location],$B22,Register[Asset Type],D$17)</f>
        <v>0</v>
      </c>
      <c r="E22" s="78">
        <f>COUNTIFS(Register[Location],$B22,Register[Asset Type],E$17)</f>
        <v>0</v>
      </c>
      <c r="F22" s="78">
        <f>COUNTIFS(Register[Location],$B22,Register[Asset Type],F$17)</f>
        <v>0</v>
      </c>
      <c r="G22" s="79">
        <f>SUM(C22:F22)</f>
        <v>5</v>
      </c>
      <c r="M22" s="63" t="s">
        <v>752</v>
      </c>
      <c r="N22" s="81" t="str">
        <f>IFERROR(_xlfn.XLOOKUP($N$17,Register[Asset ID],Register[Serial / IMEI])&amp;"","Not found")</f>
        <v>350675291199268</v>
      </c>
    </row>
    <row r="23" spans="2:14" x14ac:dyDescent="0.25">
      <c r="B23" s="61" t="str">
        <f>Lists!$C$7</f>
        <v>Yard Office</v>
      </c>
      <c r="C23" s="78">
        <f>COUNTIFS(Register[Location],$B23,Register[Asset Type],C$17)</f>
        <v>1</v>
      </c>
      <c r="D23" s="78">
        <f>COUNTIFS(Register[Location],$B23,Register[Asset Type],D$17)</f>
        <v>0</v>
      </c>
      <c r="E23" s="78">
        <f>COUNTIFS(Register[Location],$B23,Register[Asset Type],E$17)</f>
        <v>0</v>
      </c>
      <c r="F23" s="78">
        <f>COUNTIFS(Register[Location],$B23,Register[Asset Type],F$17)</f>
        <v>0</v>
      </c>
      <c r="G23" s="79">
        <f>SUM(C23:F23)</f>
        <v>1</v>
      </c>
      <c r="M23" s="63" t="s">
        <v>753</v>
      </c>
      <c r="N23" s="81" t="str">
        <f>IFERROR(_xlfn.XLOOKUP($N$17,Register[Asset ID],Register[Inventory No.])&amp;"","Not found")</f>
        <v/>
      </c>
    </row>
    <row r="24" spans="2:14" x14ac:dyDescent="0.25">
      <c r="B24" s="61" t="str">
        <f>Lists!$C$8</f>
        <v>IT</v>
      </c>
      <c r="C24" s="78">
        <f>COUNTIFS(Register[Location],$B24,Register[Asset Type],C$17)</f>
        <v>2</v>
      </c>
      <c r="D24" s="78">
        <f>COUNTIFS(Register[Location],$B24,Register[Asset Type],D$17)</f>
        <v>0</v>
      </c>
      <c r="E24" s="78">
        <f>COUNTIFS(Register[Location],$B24,Register[Asset Type],E$17)</f>
        <v>0</v>
      </c>
      <c r="F24" s="78">
        <f>COUNTIFS(Register[Location],$B24,Register[Asset Type],F$17)</f>
        <v>0</v>
      </c>
      <c r="G24" s="79">
        <f>SUM(C24:F24)</f>
        <v>2</v>
      </c>
      <c r="M24" s="63" t="s">
        <v>754</v>
      </c>
      <c r="N24" s="81" t="str">
        <f>IFERROR(_xlfn.XLOOKUP($N$17,Register[Asset ID],Register[Asset No.])&amp;"","Not found")</f>
        <v>MPL-CGO-OEQ-TBLT-00039</v>
      </c>
    </row>
    <row r="25" spans="2:14" x14ac:dyDescent="0.25">
      <c r="B25" s="61" t="str">
        <f>Lists!$C$9</f>
        <v>POD-MCH</v>
      </c>
      <c r="C25" s="78">
        <f>COUNTIFS(Register[Location],$B25,Register[Asset Type],C$17)</f>
        <v>0</v>
      </c>
      <c r="D25" s="78">
        <f>COUNTIFS(Register[Location],$B25,Register[Asset Type],D$17)</f>
        <v>0</v>
      </c>
      <c r="E25" s="78">
        <f>COUNTIFS(Register[Location],$B25,Register[Asset Type],E$17)</f>
        <v>0</v>
      </c>
      <c r="F25" s="78">
        <f>COUNTIFS(Register[Location],$B25,Register[Asset Type],F$17)</f>
        <v>67</v>
      </c>
      <c r="G25" s="79">
        <f>SUM(C25:F25)</f>
        <v>67</v>
      </c>
      <c r="M25" s="63" t="s">
        <v>756</v>
      </c>
      <c r="N25" s="81" t="str">
        <f>IFERROR(_xlfn.XLOOKUP($N$17,Register[Asset ID],Register[SIM / Operator])&amp;"","Not found")</f>
        <v>Dhiraagu 10GB</v>
      </c>
    </row>
    <row r="26" spans="2:14" x14ac:dyDescent="0.25">
      <c r="B26" s="61" t="str">
        <f>Lists!$C$10</f>
        <v>POD-HMT</v>
      </c>
      <c r="C26" s="78">
        <f>COUNTIFS(Register[Location],$B26,Register[Asset Type],C$17)</f>
        <v>0</v>
      </c>
      <c r="D26" s="78">
        <f>COUNTIFS(Register[Location],$B26,Register[Asset Type],D$17)</f>
        <v>0</v>
      </c>
      <c r="E26" s="78">
        <f>COUNTIFS(Register[Location],$B26,Register[Asset Type],E$17)</f>
        <v>0</v>
      </c>
      <c r="F26" s="78">
        <f>COUNTIFS(Register[Location],$B26,Register[Asset Type],F$17)</f>
        <v>10</v>
      </c>
      <c r="G26" s="79">
        <f>SUM(C26:F26)</f>
        <v>10</v>
      </c>
      <c r="M26" s="63" t="s">
        <v>174</v>
      </c>
      <c r="N26" s="81" t="str">
        <f>IFERROR(_xlfn.XLOOKUP($N$17,Register[Asset ID],Register[Location])&amp;"","Not found")</f>
        <v>COD</v>
      </c>
    </row>
    <row r="27" spans="2:14" x14ac:dyDescent="0.25">
      <c r="B27" s="61" t="str">
        <f>Lists!$C$11</f>
        <v>POD Office</v>
      </c>
      <c r="C27" s="78">
        <f>COUNTIFS(Register[Location],$B27,Register[Asset Type],C$17)</f>
        <v>0</v>
      </c>
      <c r="D27" s="78">
        <f>COUNTIFS(Register[Location],$B27,Register[Asset Type],D$17)</f>
        <v>0</v>
      </c>
      <c r="E27" s="78">
        <f>COUNTIFS(Register[Location],$B27,Register[Asset Type],E$17)</f>
        <v>0</v>
      </c>
      <c r="F27" s="78">
        <f>COUNTIFS(Register[Location],$B27,Register[Asset Type],F$17)</f>
        <v>5</v>
      </c>
      <c r="G27" s="79">
        <f>SUM(C27:F27)</f>
        <v>5</v>
      </c>
      <c r="M27" s="63" t="s">
        <v>757</v>
      </c>
      <c r="N27" s="81" t="str">
        <f>IFERROR(_xlfn.XLOOKUP($N$17,Register[Asset ID],Register[Assigned To / Shift])&amp;"","Not found")</f>
        <v>B Tallies</v>
      </c>
    </row>
    <row r="28" spans="2:14" x14ac:dyDescent="0.25">
      <c r="B28" s="61" t="str">
        <f>Lists!$C$12</f>
        <v>Gear Store</v>
      </c>
      <c r="C28" s="78">
        <f>COUNTIFS(Register[Location],$B28,Register[Asset Type],C$17)</f>
        <v>0</v>
      </c>
      <c r="D28" s="78">
        <f>COUNTIFS(Register[Location],$B28,Register[Asset Type],D$17)</f>
        <v>0</v>
      </c>
      <c r="E28" s="78">
        <f>COUNTIFS(Register[Location],$B28,Register[Asset Type],E$17)</f>
        <v>0</v>
      </c>
      <c r="F28" s="78">
        <f>COUNTIFS(Register[Location],$B28,Register[Asset Type],F$17)</f>
        <v>1</v>
      </c>
      <c r="G28" s="79">
        <f>SUM(C28:F28)</f>
        <v>1</v>
      </c>
      <c r="M28" s="63" t="s">
        <v>712</v>
      </c>
      <c r="N28" s="81" t="str">
        <f>IFERROR(_xlfn.XLOOKUP($N$17,Register[Asset ID],Register[Status])&amp;"","Not found")</f>
        <v>In Use</v>
      </c>
    </row>
    <row r="29" spans="2:14" x14ac:dyDescent="0.25">
      <c r="B29" s="61" t="str">
        <f>Lists!$C$13</f>
        <v>Cargo Office</v>
      </c>
      <c r="C29" s="78">
        <f>COUNTIFS(Register[Location],$B29,Register[Asset Type],C$17)</f>
        <v>0</v>
      </c>
      <c r="D29" s="78">
        <f>COUNTIFS(Register[Location],$B29,Register[Asset Type],D$17)</f>
        <v>0</v>
      </c>
      <c r="E29" s="78">
        <f>COUNTIFS(Register[Location],$B29,Register[Asset Type],E$17)</f>
        <v>0</v>
      </c>
      <c r="F29" s="78">
        <f>COUNTIFS(Register[Location],$B29,Register[Asset Type],F$17)</f>
        <v>1</v>
      </c>
      <c r="G29" s="79">
        <f>SUM(C29:F29)</f>
        <v>1</v>
      </c>
      <c r="M29" s="63" t="s">
        <v>758</v>
      </c>
      <c r="N29" s="81" t="str">
        <f>IFERROR(TEXT(_xlfn.XLOOKUP($N$17,Register[Asset ID],Register[Issued Date]),"dd.mm.yyyy;;"),"")</f>
        <v/>
      </c>
    </row>
    <row r="30" spans="2:14" x14ac:dyDescent="0.25">
      <c r="B30" s="61" t="str">
        <f>Lists!$C$14</f>
        <v>MCD</v>
      </c>
      <c r="C30" s="78">
        <f>COUNTIFS(Register[Location],$B30,Register[Asset Type],C$17)</f>
        <v>0</v>
      </c>
      <c r="D30" s="78">
        <f>COUNTIFS(Register[Location],$B30,Register[Asset Type],D$17)</f>
        <v>0</v>
      </c>
      <c r="E30" s="78">
        <f>COUNTIFS(Register[Location],$B30,Register[Asset Type],E$17)</f>
        <v>0</v>
      </c>
      <c r="F30" s="78">
        <f>COUNTIFS(Register[Location],$B30,Register[Asset Type],F$17)</f>
        <v>3</v>
      </c>
      <c r="G30" s="79">
        <f>SUM(C30:F30)</f>
        <v>3</v>
      </c>
      <c r="M30" s="63" t="s">
        <v>760</v>
      </c>
      <c r="N30" s="81" t="str">
        <f>IFERROR(TEXT(_xlfn.XLOOKUP($N$17,Register[Asset ID],Register[Last Verified]),"dd.mm.yyyy;;"),"")</f>
        <v/>
      </c>
    </row>
    <row r="31" spans="2:14" x14ac:dyDescent="0.25">
      <c r="B31" s="61" t="str">
        <f>Lists!$C$15</f>
        <v>Office</v>
      </c>
      <c r="C31" s="78">
        <f>COUNTIFS(Register[Location],$B31,Register[Asset Type],C$17)</f>
        <v>0</v>
      </c>
      <c r="D31" s="78">
        <f>COUNTIFS(Register[Location],$B31,Register[Asset Type],D$17)</f>
        <v>0</v>
      </c>
      <c r="E31" s="78">
        <f>COUNTIFS(Register[Location],$B31,Register[Asset Type],E$17)</f>
        <v>0</v>
      </c>
      <c r="F31" s="78">
        <f>COUNTIFS(Register[Location],$B31,Register[Asset Type],F$17)</f>
        <v>2</v>
      </c>
      <c r="G31" s="79">
        <f>SUM(C31:F31)</f>
        <v>2</v>
      </c>
      <c r="M31" s="63" t="s">
        <v>762</v>
      </c>
      <c r="N31" s="81" t="str">
        <f ca="1">IFERROR(_xlfn.XLOOKUP($N$17,Register[Asset ID],Register[Flags])&amp;"","Not found")</f>
        <v>Verify due</v>
      </c>
    </row>
    <row r="32" spans="2:14" x14ac:dyDescent="0.25">
      <c r="B32" s="61" t="str">
        <f>Lists!$C$16</f>
        <v>MCH</v>
      </c>
      <c r="C32" s="78">
        <f>COUNTIFS(Register[Location],$B32,Register[Asset Type],C$17)</f>
        <v>0</v>
      </c>
      <c r="D32" s="78">
        <f>COUNTIFS(Register[Location],$B32,Register[Asset Type],D$17)</f>
        <v>0</v>
      </c>
      <c r="E32" s="78">
        <f>COUNTIFS(Register[Location],$B32,Register[Asset Type],E$17)</f>
        <v>0</v>
      </c>
      <c r="F32" s="78">
        <f>COUNTIFS(Register[Location],$B32,Register[Asset Type],F$17)</f>
        <v>5</v>
      </c>
      <c r="G32" s="79">
        <f>SUM(C32:F32)</f>
        <v>5</v>
      </c>
      <c r="M32" s="63" t="s">
        <v>8</v>
      </c>
      <c r="N32" s="81" t="str">
        <f>IFERROR(_xlfn.XLOOKUP($N$17,Register[Asset ID],Register[Remarks])&amp;"","Not found")</f>
        <v>At COD / Currently in use</v>
      </c>
    </row>
    <row r="33" spans="2:14" x14ac:dyDescent="0.25">
      <c r="B33" t="s">
        <v>1567</v>
      </c>
      <c r="C33" s="78">
        <f>COUNTIFS(Register[Location],"",Register[Asset Type],C$17)</f>
        <v>7</v>
      </c>
      <c r="D33" s="78">
        <f>COUNTIFS(Register[Location],"",Register[Asset Type],D$17)</f>
        <v>0</v>
      </c>
      <c r="E33" s="78">
        <f>COUNTIFS(Register[Location],"",Register[Asset Type],E$17)</f>
        <v>49</v>
      </c>
      <c r="F33" s="78">
        <f>COUNTIFS(Register[Location],"",Register[Asset Type],F$17)</f>
        <v>62</v>
      </c>
      <c r="G33" s="79">
        <f>SUM(C33:F33)</f>
        <v>118</v>
      </c>
      <c r="M33" t="s">
        <v>1579</v>
      </c>
      <c r="N33" s="81" t="str">
        <f>IFERROR(TEXT(_xlfn.MAXIFS(MoveLog[Date],MoveLog[Asset ID],$N$17),"dd.mm.yyyy;;")&amp;"","")</f>
        <v/>
      </c>
    </row>
    <row r="34" spans="2:14" x14ac:dyDescent="0.25">
      <c r="B34" s="77" t="s">
        <v>1565</v>
      </c>
      <c r="C34" s="80">
        <f>SUM(C18:C33)</f>
        <v>46</v>
      </c>
      <c r="D34" s="80">
        <f>SUM(D18:D33)</f>
        <v>20</v>
      </c>
      <c r="E34" s="80">
        <f>SUM(E18:E33)</f>
        <v>49</v>
      </c>
      <c r="F34" s="80">
        <f>SUM(F18:F33)</f>
        <v>165</v>
      </c>
      <c r="G34" s="80">
        <f>SUM(G18:G33)</f>
        <v>280</v>
      </c>
    </row>
  </sheetData>
  <conditionalFormatting sqref="N9:N13">
    <cfRule type="cellIs" dxfId="0" priority="1" operator="greaterThan">
      <formula>0</formula>
    </cfRule>
  </conditionalFormatting>
  <dataValidations count="1">
    <dataValidation type="list" allowBlank="1" showInputMessage="1" showErrorMessage="1" sqref="N17" xr:uid="{FFF3713D-81A4-4835-AA62-A257F3707CF6}">
      <formula1>lstAssetID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15FC-A6ED-44C8-95CB-64B615C95764}">
  <dimension ref="A1:U284"/>
  <sheetViews>
    <sheetView workbookViewId="0">
      <pane ySplit="4" topLeftCell="A131" activePane="bottomLeft" state="frozen"/>
      <selection pane="bottomLeft" activeCell="G20" sqref="G20"/>
    </sheetView>
  </sheetViews>
  <sheetFormatPr defaultRowHeight="15" x14ac:dyDescent="0.25"/>
  <cols>
    <col min="1" max="1" width="14.28515625" customWidth="1"/>
    <col min="2" max="2" width="13.28515625" customWidth="1"/>
    <col min="3" max="3" width="28.5703125" customWidth="1"/>
    <col min="4" max="4" width="15.28515625" customWidth="1"/>
    <col min="5" max="5" width="13.28515625" customWidth="1"/>
    <col min="6" max="6" width="21.85546875" customWidth="1"/>
    <col min="7" max="7" width="15.28515625" customWidth="1"/>
    <col min="8" max="8" width="28.5703125" customWidth="1"/>
    <col min="9" max="9" width="14.28515625" customWidth="1"/>
    <col min="10" max="10" width="22.85546875" customWidth="1"/>
    <col min="11" max="11" width="18.140625" customWidth="1"/>
    <col min="12" max="12" width="22.85546875" customWidth="1"/>
    <col min="13" max="13" width="15.28515625" customWidth="1"/>
    <col min="14" max="16" width="14.28515625" customWidth="1"/>
    <col min="17" max="17" width="12.42578125" customWidth="1"/>
    <col min="18" max="18" width="32.42578125" customWidth="1"/>
    <col min="19" max="19" width="30.42578125" customWidth="1"/>
    <col min="20" max="20" width="41.85546875" customWidth="1"/>
    <col min="21" max="21" width="22.85546875" customWidth="1"/>
  </cols>
  <sheetData>
    <row r="1" spans="1:21" ht="21" x14ac:dyDescent="0.35">
      <c r="A1" s="55" t="s">
        <v>746</v>
      </c>
    </row>
    <row r="2" spans="1:21" x14ac:dyDescent="0.25">
      <c r="A2" s="56" t="s">
        <v>747</v>
      </c>
    </row>
    <row r="4" spans="1:21" ht="32.1" customHeight="1" x14ac:dyDescent="0.25">
      <c r="A4" s="60" t="s">
        <v>748</v>
      </c>
      <c r="B4" s="60" t="s">
        <v>711</v>
      </c>
      <c r="C4" s="60" t="s">
        <v>749</v>
      </c>
      <c r="D4" s="60" t="s">
        <v>750</v>
      </c>
      <c r="E4" s="60" t="s">
        <v>751</v>
      </c>
      <c r="F4" s="60" t="s">
        <v>752</v>
      </c>
      <c r="G4" s="60" t="s">
        <v>753</v>
      </c>
      <c r="H4" s="60" t="s">
        <v>754</v>
      </c>
      <c r="I4" s="60" t="s">
        <v>755</v>
      </c>
      <c r="J4" s="60" t="s">
        <v>756</v>
      </c>
      <c r="K4" s="60" t="s">
        <v>174</v>
      </c>
      <c r="L4" s="60" t="s">
        <v>757</v>
      </c>
      <c r="M4" s="60" t="s">
        <v>712</v>
      </c>
      <c r="N4" s="60" t="s">
        <v>758</v>
      </c>
      <c r="O4" s="60" t="s">
        <v>759</v>
      </c>
      <c r="P4" s="60" t="s">
        <v>760</v>
      </c>
      <c r="Q4" s="60" t="s">
        <v>761</v>
      </c>
      <c r="R4" s="60" t="s">
        <v>762</v>
      </c>
      <c r="S4" s="60" t="s">
        <v>763</v>
      </c>
      <c r="T4" s="60" t="s">
        <v>8</v>
      </c>
      <c r="U4" s="60" t="s">
        <v>764</v>
      </c>
    </row>
    <row r="5" spans="1:21" x14ac:dyDescent="0.25">
      <c r="A5" t="s">
        <v>765</v>
      </c>
      <c r="B5" t="s">
        <v>716</v>
      </c>
      <c r="C5" t="s">
        <v>766</v>
      </c>
      <c r="F5" s="57" t="s">
        <v>767</v>
      </c>
      <c r="G5" s="57" t="s">
        <v>768</v>
      </c>
      <c r="H5" s="57" t="s">
        <v>12</v>
      </c>
      <c r="I5" s="57" t="s">
        <v>15</v>
      </c>
      <c r="J5" s="57" t="s">
        <v>11</v>
      </c>
      <c r="K5" t="s">
        <v>520</v>
      </c>
      <c r="L5" t="s">
        <v>13</v>
      </c>
      <c r="M5" t="s">
        <v>720</v>
      </c>
      <c r="N5" s="58"/>
      <c r="O5" s="58"/>
      <c r="P5" s="58"/>
      <c r="Q5" s="59" t="str">
        <f ca="1">IF(Register[[#This Row],[Last Verified]]="","",TODAY()-Register[[#This Row],[Last Verified]])</f>
        <v/>
      </c>
      <c r="R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5" t="s">
        <v>14</v>
      </c>
      <c r="U5" t="s">
        <v>769</v>
      </c>
    </row>
    <row r="6" spans="1:21" x14ac:dyDescent="0.25">
      <c r="A6" t="s">
        <v>770</v>
      </c>
      <c r="B6" t="s">
        <v>716</v>
      </c>
      <c r="C6" t="s">
        <v>771</v>
      </c>
      <c r="F6" s="57" t="s">
        <v>772</v>
      </c>
      <c r="G6" s="57" t="s">
        <v>768</v>
      </c>
      <c r="H6" s="57" t="s">
        <v>17</v>
      </c>
      <c r="I6" s="57" t="s">
        <v>19</v>
      </c>
      <c r="J6" s="57" t="s">
        <v>11</v>
      </c>
      <c r="K6" t="s">
        <v>168</v>
      </c>
      <c r="L6" t="s">
        <v>709</v>
      </c>
      <c r="M6" t="s">
        <v>720</v>
      </c>
      <c r="N6" s="58">
        <v>44829</v>
      </c>
      <c r="O6" s="58"/>
      <c r="P6" s="58"/>
      <c r="Q6" s="59" t="str">
        <f ca="1">IF(Register[[#This Row],[Last Verified]]="","",TODAY()-Register[[#This Row],[Last Verified]])</f>
        <v/>
      </c>
      <c r="R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6" t="s">
        <v>18</v>
      </c>
      <c r="U6" t="s">
        <v>773</v>
      </c>
    </row>
    <row r="7" spans="1:21" x14ac:dyDescent="0.25">
      <c r="A7" t="s">
        <v>774</v>
      </c>
      <c r="B7" t="s">
        <v>716</v>
      </c>
      <c r="C7" t="s">
        <v>775</v>
      </c>
      <c r="F7" s="57" t="s">
        <v>776</v>
      </c>
      <c r="G7" s="57" t="s">
        <v>768</v>
      </c>
      <c r="H7" s="57" t="s">
        <v>21</v>
      </c>
      <c r="I7" s="57" t="s">
        <v>25</v>
      </c>
      <c r="J7" s="57" t="s">
        <v>11</v>
      </c>
      <c r="K7" t="s">
        <v>520</v>
      </c>
      <c r="L7" t="s">
        <v>22</v>
      </c>
      <c r="M7" t="s">
        <v>720</v>
      </c>
      <c r="N7" s="58"/>
      <c r="O7" s="58">
        <v>44592</v>
      </c>
      <c r="P7" s="58"/>
      <c r="Q7" s="59" t="str">
        <f ca="1">IF(Register[[#This Row],[Last Verified]]="","",TODAY()-Register[[#This Row],[Last Verified]])</f>
        <v/>
      </c>
      <c r="R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7" t="s">
        <v>24</v>
      </c>
      <c r="T7" t="s">
        <v>14</v>
      </c>
      <c r="U7" t="s">
        <v>777</v>
      </c>
    </row>
    <row r="8" spans="1:21" x14ac:dyDescent="0.25">
      <c r="A8" t="s">
        <v>778</v>
      </c>
      <c r="B8" t="s">
        <v>716</v>
      </c>
      <c r="C8" t="s">
        <v>779</v>
      </c>
      <c r="F8" s="57" t="s">
        <v>780</v>
      </c>
      <c r="G8" s="57" t="s">
        <v>768</v>
      </c>
      <c r="H8" s="57" t="s">
        <v>27</v>
      </c>
      <c r="I8" s="57" t="s">
        <v>29</v>
      </c>
      <c r="J8" s="57" t="s">
        <v>11</v>
      </c>
      <c r="K8" t="s">
        <v>168</v>
      </c>
      <c r="L8" t="s">
        <v>709</v>
      </c>
      <c r="M8" t="s">
        <v>720</v>
      </c>
      <c r="N8" s="58">
        <v>44348</v>
      </c>
      <c r="O8" s="58"/>
      <c r="P8" s="58"/>
      <c r="Q8" s="59" t="str">
        <f ca="1">IF(Register[[#This Row],[Last Verified]]="","",TODAY()-Register[[#This Row],[Last Verified]])</f>
        <v/>
      </c>
      <c r="R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8" t="s">
        <v>28</v>
      </c>
      <c r="U8" t="s">
        <v>781</v>
      </c>
    </row>
    <row r="9" spans="1:21" x14ac:dyDescent="0.25">
      <c r="A9" t="s">
        <v>782</v>
      </c>
      <c r="B9" t="s">
        <v>716</v>
      </c>
      <c r="C9" t="s">
        <v>783</v>
      </c>
      <c r="F9" s="57" t="s">
        <v>784</v>
      </c>
      <c r="G9" s="57" t="s">
        <v>768</v>
      </c>
      <c r="H9" s="57" t="s">
        <v>31</v>
      </c>
      <c r="I9" s="57" t="s">
        <v>32</v>
      </c>
      <c r="J9" s="57" t="s">
        <v>11</v>
      </c>
      <c r="K9" t="s">
        <v>727</v>
      </c>
      <c r="L9" t="s">
        <v>785</v>
      </c>
      <c r="M9" t="s">
        <v>720</v>
      </c>
      <c r="N9" s="58"/>
      <c r="O9" s="58"/>
      <c r="P9" s="58"/>
      <c r="Q9" s="59" t="str">
        <f ca="1">IF(Register[[#This Row],[Last Verified]]="","",TODAY()-Register[[#This Row],[Last Verified]])</f>
        <v/>
      </c>
      <c r="R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9" t="s">
        <v>786</v>
      </c>
      <c r="U9" t="s">
        <v>787</v>
      </c>
    </row>
    <row r="10" spans="1:21" x14ac:dyDescent="0.25">
      <c r="A10" t="s">
        <v>788</v>
      </c>
      <c r="B10" t="s">
        <v>716</v>
      </c>
      <c r="C10" t="s">
        <v>789</v>
      </c>
      <c r="F10" s="57" t="s">
        <v>790</v>
      </c>
      <c r="G10" s="57" t="s">
        <v>768</v>
      </c>
      <c r="H10" s="57" t="s">
        <v>34</v>
      </c>
      <c r="I10" s="57" t="s">
        <v>36</v>
      </c>
      <c r="J10" s="57" t="s">
        <v>11</v>
      </c>
      <c r="K10" t="s">
        <v>382</v>
      </c>
      <c r="M10" t="s">
        <v>720</v>
      </c>
      <c r="N10" s="58">
        <v>44339</v>
      </c>
      <c r="O10" s="58"/>
      <c r="P10" s="58"/>
      <c r="Q10" s="59" t="str">
        <f ca="1">IF(Register[[#This Row],[Last Verified]]="","",TODAY()-Register[[#This Row],[Last Verified]])</f>
        <v/>
      </c>
      <c r="R1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0" t="s">
        <v>35</v>
      </c>
      <c r="U10" t="s">
        <v>791</v>
      </c>
    </row>
    <row r="11" spans="1:21" x14ac:dyDescent="0.25">
      <c r="A11" t="s">
        <v>792</v>
      </c>
      <c r="B11" t="s">
        <v>716</v>
      </c>
      <c r="C11" t="s">
        <v>793</v>
      </c>
      <c r="F11" s="57" t="s">
        <v>794</v>
      </c>
      <c r="G11" s="57" t="s">
        <v>768</v>
      </c>
      <c r="H11" s="57" t="s">
        <v>38</v>
      </c>
      <c r="I11" s="57" t="s">
        <v>39</v>
      </c>
      <c r="J11" s="57" t="s">
        <v>11</v>
      </c>
      <c r="K11" t="s">
        <v>382</v>
      </c>
      <c r="M11" t="s">
        <v>720</v>
      </c>
      <c r="N11" s="58">
        <v>44339</v>
      </c>
      <c r="O11" s="58"/>
      <c r="P11" s="58"/>
      <c r="Q11" s="59" t="str">
        <f ca="1">IF(Register[[#This Row],[Last Verified]]="","",TODAY()-Register[[#This Row],[Last Verified]])</f>
        <v/>
      </c>
      <c r="R1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1" t="s">
        <v>35</v>
      </c>
      <c r="U11" t="s">
        <v>795</v>
      </c>
    </row>
    <row r="12" spans="1:21" x14ac:dyDescent="0.25">
      <c r="A12" t="s">
        <v>796</v>
      </c>
      <c r="B12" t="s">
        <v>716</v>
      </c>
      <c r="C12" t="s">
        <v>797</v>
      </c>
      <c r="F12" s="57" t="s">
        <v>798</v>
      </c>
      <c r="G12" s="57" t="s">
        <v>768</v>
      </c>
      <c r="H12" s="57" t="s">
        <v>41</v>
      </c>
      <c r="I12" s="57" t="s">
        <v>43</v>
      </c>
      <c r="J12" s="57" t="s">
        <v>11</v>
      </c>
      <c r="K12" t="s">
        <v>520</v>
      </c>
      <c r="L12" t="s">
        <v>42</v>
      </c>
      <c r="M12" t="s">
        <v>720</v>
      </c>
      <c r="N12" s="58"/>
      <c r="O12" s="58"/>
      <c r="P12" s="58"/>
      <c r="Q12" s="59" t="str">
        <f ca="1">IF(Register[[#This Row],[Last Verified]]="","",TODAY()-Register[[#This Row],[Last Verified]])</f>
        <v/>
      </c>
      <c r="R1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2" t="s">
        <v>14</v>
      </c>
      <c r="U12" t="s">
        <v>799</v>
      </c>
    </row>
    <row r="13" spans="1:21" x14ac:dyDescent="0.25">
      <c r="A13" t="s">
        <v>800</v>
      </c>
      <c r="B13" t="s">
        <v>716</v>
      </c>
      <c r="C13" t="s">
        <v>801</v>
      </c>
      <c r="F13" s="57" t="s">
        <v>802</v>
      </c>
      <c r="G13" s="57" t="s">
        <v>768</v>
      </c>
      <c r="H13" s="57" t="s">
        <v>45</v>
      </c>
      <c r="I13" s="57" t="s">
        <v>46</v>
      </c>
      <c r="J13" s="57" t="s">
        <v>11</v>
      </c>
      <c r="K13" t="s">
        <v>520</v>
      </c>
      <c r="L13" t="s">
        <v>42</v>
      </c>
      <c r="M13" t="s">
        <v>720</v>
      </c>
      <c r="N13" s="58"/>
      <c r="O13" s="58"/>
      <c r="P13" s="58"/>
      <c r="Q13" s="59" t="str">
        <f ca="1">IF(Register[[#This Row],[Last Verified]]="","",TODAY()-Register[[#This Row],[Last Verified]])</f>
        <v/>
      </c>
      <c r="R1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3" t="s">
        <v>14</v>
      </c>
      <c r="U13" t="s">
        <v>803</v>
      </c>
    </row>
    <row r="14" spans="1:21" x14ac:dyDescent="0.25">
      <c r="A14" t="s">
        <v>804</v>
      </c>
      <c r="B14" t="s">
        <v>716</v>
      </c>
      <c r="C14" t="s">
        <v>805</v>
      </c>
      <c r="F14" s="57" t="s">
        <v>806</v>
      </c>
      <c r="G14" s="57" t="s">
        <v>768</v>
      </c>
      <c r="H14" s="57" t="s">
        <v>48</v>
      </c>
      <c r="I14" s="57" t="s">
        <v>50</v>
      </c>
      <c r="J14" s="57" t="s">
        <v>11</v>
      </c>
      <c r="K14" t="s">
        <v>728</v>
      </c>
      <c r="M14" t="s">
        <v>720</v>
      </c>
      <c r="N14" s="58">
        <v>44307</v>
      </c>
      <c r="O14" s="58"/>
      <c r="P14" s="58"/>
      <c r="Q14" s="59" t="str">
        <f ca="1">IF(Register[[#This Row],[Last Verified]]="","",TODAY()-Register[[#This Row],[Last Verified]])</f>
        <v/>
      </c>
      <c r="R1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4" t="s">
        <v>49</v>
      </c>
      <c r="U14" t="s">
        <v>807</v>
      </c>
    </row>
    <row r="15" spans="1:21" x14ac:dyDescent="0.25">
      <c r="A15" t="s">
        <v>808</v>
      </c>
      <c r="B15" t="s">
        <v>716</v>
      </c>
      <c r="C15" t="s">
        <v>809</v>
      </c>
      <c r="F15" s="57" t="s">
        <v>810</v>
      </c>
      <c r="G15" s="57" t="s">
        <v>768</v>
      </c>
      <c r="H15" s="57" t="s">
        <v>52</v>
      </c>
      <c r="I15" s="57" t="s">
        <v>53</v>
      </c>
      <c r="J15" s="57" t="s">
        <v>11</v>
      </c>
      <c r="K15" t="s">
        <v>520</v>
      </c>
      <c r="L15" t="s">
        <v>13</v>
      </c>
      <c r="M15" t="s">
        <v>720</v>
      </c>
      <c r="N15" s="58"/>
      <c r="O15" s="58"/>
      <c r="P15" s="58"/>
      <c r="Q15" s="59" t="str">
        <f ca="1">IF(Register[[#This Row],[Last Verified]]="","",TODAY()-Register[[#This Row],[Last Verified]])</f>
        <v/>
      </c>
      <c r="R1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5" t="s">
        <v>14</v>
      </c>
      <c r="U15" t="s">
        <v>811</v>
      </c>
    </row>
    <row r="16" spans="1:21" x14ac:dyDescent="0.25">
      <c r="A16" t="s">
        <v>812</v>
      </c>
      <c r="B16" t="s">
        <v>716</v>
      </c>
      <c r="C16" t="s">
        <v>813</v>
      </c>
      <c r="F16" s="57" t="s">
        <v>814</v>
      </c>
      <c r="G16" s="57" t="s">
        <v>768</v>
      </c>
      <c r="H16" s="57" t="s">
        <v>55</v>
      </c>
      <c r="I16" s="57" t="s">
        <v>57</v>
      </c>
      <c r="J16" s="57" t="s">
        <v>11</v>
      </c>
      <c r="K16" t="s">
        <v>729</v>
      </c>
      <c r="M16" t="s">
        <v>722</v>
      </c>
      <c r="N16" s="58"/>
      <c r="O16" s="58"/>
      <c r="P16" s="58"/>
      <c r="Q16" s="59" t="str">
        <f ca="1">IF(Register[[#This Row],[Last Verified]]="","",TODAY()-Register[[#This Row],[Last Verified]])</f>
        <v/>
      </c>
      <c r="R1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6" t="s">
        <v>56</v>
      </c>
      <c r="U16" t="s">
        <v>815</v>
      </c>
    </row>
    <row r="17" spans="1:21" x14ac:dyDescent="0.25">
      <c r="A17" t="s">
        <v>816</v>
      </c>
      <c r="B17" t="s">
        <v>716</v>
      </c>
      <c r="C17" t="s">
        <v>817</v>
      </c>
      <c r="F17" s="57" t="s">
        <v>818</v>
      </c>
      <c r="G17" s="57" t="s">
        <v>768</v>
      </c>
      <c r="H17" s="57" t="s">
        <v>59</v>
      </c>
      <c r="I17" s="57" t="s">
        <v>62</v>
      </c>
      <c r="J17" s="57" t="s">
        <v>11</v>
      </c>
      <c r="K17" t="s">
        <v>382</v>
      </c>
      <c r="L17" t="s">
        <v>382</v>
      </c>
      <c r="M17" t="s">
        <v>720</v>
      </c>
      <c r="N17" s="58">
        <v>45729</v>
      </c>
      <c r="O17" s="58">
        <v>44592</v>
      </c>
      <c r="P17" s="58"/>
      <c r="Q17" s="59" t="str">
        <f ca="1">IF(Register[[#This Row],[Last Verified]]="","",TODAY()-Register[[#This Row],[Last Verified]])</f>
        <v/>
      </c>
      <c r="R1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7" t="s">
        <v>61</v>
      </c>
      <c r="U17" t="s">
        <v>819</v>
      </c>
    </row>
    <row r="18" spans="1:21" x14ac:dyDescent="0.25">
      <c r="A18" t="s">
        <v>820</v>
      </c>
      <c r="B18" t="s">
        <v>716</v>
      </c>
      <c r="C18" t="s">
        <v>821</v>
      </c>
      <c r="F18" s="57" t="s">
        <v>822</v>
      </c>
      <c r="G18" s="57" t="s">
        <v>768</v>
      </c>
      <c r="H18" s="57" t="s">
        <v>64</v>
      </c>
      <c r="I18" s="57" t="s">
        <v>65</v>
      </c>
      <c r="J18" s="57" t="s">
        <v>11</v>
      </c>
      <c r="K18" t="s">
        <v>729</v>
      </c>
      <c r="M18" t="s">
        <v>722</v>
      </c>
      <c r="N18" s="58"/>
      <c r="O18" s="58"/>
      <c r="P18" s="58"/>
      <c r="Q18" s="59" t="str">
        <f ca="1">IF(Register[[#This Row],[Last Verified]]="","",TODAY()-Register[[#This Row],[Last Verified]])</f>
        <v/>
      </c>
      <c r="R1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8" t="s">
        <v>56</v>
      </c>
      <c r="U18" t="s">
        <v>823</v>
      </c>
    </row>
    <row r="19" spans="1:21" x14ac:dyDescent="0.25">
      <c r="A19" t="s">
        <v>824</v>
      </c>
      <c r="B19" t="s">
        <v>716</v>
      </c>
      <c r="C19" t="s">
        <v>825</v>
      </c>
      <c r="F19" s="57" t="s">
        <v>826</v>
      </c>
      <c r="G19" s="57" t="s">
        <v>768</v>
      </c>
      <c r="H19" s="57" t="s">
        <v>67</v>
      </c>
      <c r="I19" s="57" t="s">
        <v>68</v>
      </c>
      <c r="J19" s="57" t="s">
        <v>11</v>
      </c>
      <c r="K19" t="s">
        <v>520</v>
      </c>
      <c r="L19" t="s">
        <v>13</v>
      </c>
      <c r="M19" t="s">
        <v>720</v>
      </c>
      <c r="N19" s="58"/>
      <c r="O19" s="58"/>
      <c r="P19" s="58"/>
      <c r="Q19" s="59" t="str">
        <f ca="1">IF(Register[[#This Row],[Last Verified]]="","",TODAY()-Register[[#This Row],[Last Verified]])</f>
        <v/>
      </c>
      <c r="R1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9" t="s">
        <v>14</v>
      </c>
      <c r="U19" t="s">
        <v>827</v>
      </c>
    </row>
    <row r="20" spans="1:21" x14ac:dyDescent="0.25">
      <c r="A20" t="s">
        <v>828</v>
      </c>
      <c r="B20" t="s">
        <v>716</v>
      </c>
      <c r="C20" t="s">
        <v>829</v>
      </c>
      <c r="F20" s="57" t="s">
        <v>830</v>
      </c>
      <c r="G20" s="57" t="s">
        <v>70</v>
      </c>
      <c r="H20" s="57" t="s">
        <v>71</v>
      </c>
      <c r="I20" s="57" t="s">
        <v>72</v>
      </c>
      <c r="J20" s="57" t="s">
        <v>11</v>
      </c>
      <c r="M20" t="s">
        <v>723</v>
      </c>
      <c r="N20" s="58"/>
      <c r="O20" s="58"/>
      <c r="P20" s="58"/>
      <c r="Q20" s="59" t="str">
        <f ca="1">IF(Register[[#This Row],[Last Verified]]="","",TODAY()-Register[[#This Row],[Last Verified]])</f>
        <v/>
      </c>
      <c r="R2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20" t="s">
        <v>831</v>
      </c>
    </row>
    <row r="21" spans="1:21" x14ac:dyDescent="0.25">
      <c r="A21" t="s">
        <v>832</v>
      </c>
      <c r="B21" t="s">
        <v>716</v>
      </c>
      <c r="C21" t="s">
        <v>833</v>
      </c>
      <c r="F21" s="57" t="s">
        <v>834</v>
      </c>
      <c r="G21" s="57" t="s">
        <v>74</v>
      </c>
      <c r="H21" s="57" t="s">
        <v>75</v>
      </c>
      <c r="I21" s="57" t="s">
        <v>76</v>
      </c>
      <c r="J21" s="57" t="s">
        <v>11</v>
      </c>
      <c r="M21" t="s">
        <v>723</v>
      </c>
      <c r="N21" s="58"/>
      <c r="O21" s="58"/>
      <c r="P21" s="58"/>
      <c r="Q21" s="59" t="str">
        <f ca="1">IF(Register[[#This Row],[Last Verified]]="","",TODAY()-Register[[#This Row],[Last Verified]])</f>
        <v/>
      </c>
      <c r="R2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21" t="s">
        <v>835</v>
      </c>
    </row>
    <row r="22" spans="1:21" x14ac:dyDescent="0.25">
      <c r="A22" t="s">
        <v>836</v>
      </c>
      <c r="B22" t="s">
        <v>716</v>
      </c>
      <c r="C22" t="s">
        <v>837</v>
      </c>
      <c r="F22" s="57" t="s">
        <v>838</v>
      </c>
      <c r="G22" s="57" t="s">
        <v>78</v>
      </c>
      <c r="H22" s="57" t="s">
        <v>79</v>
      </c>
      <c r="I22" s="57" t="s">
        <v>80</v>
      </c>
      <c r="J22" s="57" t="s">
        <v>11</v>
      </c>
      <c r="M22" t="s">
        <v>723</v>
      </c>
      <c r="N22" s="58"/>
      <c r="O22" s="58"/>
      <c r="P22" s="58"/>
      <c r="Q22" s="59" t="str">
        <f ca="1">IF(Register[[#This Row],[Last Verified]]="","",TODAY()-Register[[#This Row],[Last Verified]])</f>
        <v/>
      </c>
      <c r="R2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22" t="s">
        <v>839</v>
      </c>
    </row>
    <row r="23" spans="1:21" x14ac:dyDescent="0.25">
      <c r="A23" t="s">
        <v>840</v>
      </c>
      <c r="B23" t="s">
        <v>716</v>
      </c>
      <c r="C23" t="s">
        <v>841</v>
      </c>
      <c r="F23" s="57" t="s">
        <v>842</v>
      </c>
      <c r="G23" s="57" t="s">
        <v>82</v>
      </c>
      <c r="H23" s="57" t="s">
        <v>83</v>
      </c>
      <c r="I23" s="57" t="s">
        <v>84</v>
      </c>
      <c r="J23" s="57" t="s">
        <v>11</v>
      </c>
      <c r="M23" t="s">
        <v>723</v>
      </c>
      <c r="N23" s="58"/>
      <c r="O23" s="58"/>
      <c r="P23" s="58"/>
      <c r="Q23" s="59" t="str">
        <f ca="1">IF(Register[[#This Row],[Last Verified]]="","",TODAY()-Register[[#This Row],[Last Verified]])</f>
        <v/>
      </c>
      <c r="R2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23" t="s">
        <v>843</v>
      </c>
    </row>
    <row r="24" spans="1:21" x14ac:dyDescent="0.25">
      <c r="A24" t="s">
        <v>844</v>
      </c>
      <c r="B24" t="s">
        <v>716</v>
      </c>
      <c r="C24" t="s">
        <v>845</v>
      </c>
      <c r="F24" s="57" t="s">
        <v>846</v>
      </c>
      <c r="G24" s="57" t="s">
        <v>86</v>
      </c>
      <c r="H24" s="57" t="s">
        <v>87</v>
      </c>
      <c r="I24" s="57" t="s">
        <v>88</v>
      </c>
      <c r="J24" s="57" t="s">
        <v>11</v>
      </c>
      <c r="K24" t="s">
        <v>520</v>
      </c>
      <c r="L24" t="s">
        <v>22</v>
      </c>
      <c r="M24" t="s">
        <v>720</v>
      </c>
      <c r="N24" s="58"/>
      <c r="O24" s="58">
        <v>44592</v>
      </c>
      <c r="P24" s="58"/>
      <c r="Q24" s="59" t="str">
        <f ca="1">IF(Register[[#This Row],[Last Verified]]="","",TODAY()-Register[[#This Row],[Last Verified]])</f>
        <v/>
      </c>
      <c r="R2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24" t="s">
        <v>24</v>
      </c>
      <c r="T24" t="s">
        <v>14</v>
      </c>
      <c r="U24" t="s">
        <v>847</v>
      </c>
    </row>
    <row r="25" spans="1:21" x14ac:dyDescent="0.25">
      <c r="A25" t="s">
        <v>848</v>
      </c>
      <c r="B25" t="s">
        <v>716</v>
      </c>
      <c r="C25" t="s">
        <v>849</v>
      </c>
      <c r="F25" s="57" t="s">
        <v>850</v>
      </c>
      <c r="G25" s="57" t="s">
        <v>90</v>
      </c>
      <c r="H25" s="57" t="s">
        <v>91</v>
      </c>
      <c r="I25" s="57" t="s">
        <v>93</v>
      </c>
      <c r="J25" s="57" t="s">
        <v>11</v>
      </c>
      <c r="K25" t="s">
        <v>520</v>
      </c>
      <c r="L25" t="s">
        <v>13</v>
      </c>
      <c r="M25" t="s">
        <v>720</v>
      </c>
      <c r="N25" s="58"/>
      <c r="O25" s="58"/>
      <c r="P25" s="58"/>
      <c r="Q25" s="59" t="str">
        <f ca="1">IF(Register[[#This Row],[Last Verified]]="","",TODAY()-Register[[#This Row],[Last Verified]])</f>
        <v/>
      </c>
      <c r="R2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5" t="s">
        <v>14</v>
      </c>
      <c r="U25" t="s">
        <v>851</v>
      </c>
    </row>
    <row r="26" spans="1:21" x14ac:dyDescent="0.25">
      <c r="A26" t="s">
        <v>852</v>
      </c>
      <c r="B26" t="s">
        <v>716</v>
      </c>
      <c r="C26" t="s">
        <v>853</v>
      </c>
      <c r="F26" s="57" t="s">
        <v>854</v>
      </c>
      <c r="G26" s="57" t="s">
        <v>95</v>
      </c>
      <c r="H26" s="57" t="s">
        <v>96</v>
      </c>
      <c r="I26" s="57" t="s">
        <v>70</v>
      </c>
      <c r="J26" s="57" t="s">
        <v>11</v>
      </c>
      <c r="K26" t="s">
        <v>520</v>
      </c>
      <c r="L26" t="s">
        <v>22</v>
      </c>
      <c r="M26" t="s">
        <v>720</v>
      </c>
      <c r="N26" s="58"/>
      <c r="O26" s="58">
        <v>44592</v>
      </c>
      <c r="P26" s="58"/>
      <c r="Q26" s="59" t="str">
        <f ca="1">IF(Register[[#This Row],[Last Verified]]="","",TODAY()-Register[[#This Row],[Last Verified]])</f>
        <v/>
      </c>
      <c r="R2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26" t="s">
        <v>24</v>
      </c>
      <c r="T26" t="s">
        <v>14</v>
      </c>
      <c r="U26" t="s">
        <v>855</v>
      </c>
    </row>
    <row r="27" spans="1:21" x14ac:dyDescent="0.25">
      <c r="A27" t="s">
        <v>856</v>
      </c>
      <c r="B27" t="s">
        <v>716</v>
      </c>
      <c r="C27" t="s">
        <v>857</v>
      </c>
      <c r="F27" s="57" t="s">
        <v>858</v>
      </c>
      <c r="G27" s="57" t="s">
        <v>93</v>
      </c>
      <c r="H27" s="57" t="s">
        <v>98</v>
      </c>
      <c r="I27" s="57" t="s">
        <v>99</v>
      </c>
      <c r="J27" s="57" t="s">
        <v>11</v>
      </c>
      <c r="K27" t="s">
        <v>520</v>
      </c>
      <c r="L27" t="s">
        <v>42</v>
      </c>
      <c r="M27" t="s">
        <v>720</v>
      </c>
      <c r="N27" s="58"/>
      <c r="O27" s="58"/>
      <c r="P27" s="58"/>
      <c r="Q27" s="59" t="str">
        <f ca="1">IF(Register[[#This Row],[Last Verified]]="","",TODAY()-Register[[#This Row],[Last Verified]])</f>
        <v/>
      </c>
      <c r="R2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27" t="s">
        <v>24</v>
      </c>
      <c r="T27" t="s">
        <v>14</v>
      </c>
      <c r="U27" t="s">
        <v>859</v>
      </c>
    </row>
    <row r="28" spans="1:21" x14ac:dyDescent="0.25">
      <c r="A28" t="s">
        <v>860</v>
      </c>
      <c r="B28" t="s">
        <v>716</v>
      </c>
      <c r="C28" t="s">
        <v>861</v>
      </c>
      <c r="F28" s="57" t="s">
        <v>862</v>
      </c>
      <c r="G28" s="57" t="s">
        <v>88</v>
      </c>
      <c r="H28" s="57" t="s">
        <v>101</v>
      </c>
      <c r="I28" s="57" t="s">
        <v>103</v>
      </c>
      <c r="J28" s="57" t="s">
        <v>11</v>
      </c>
      <c r="K28" t="s">
        <v>382</v>
      </c>
      <c r="L28" t="s">
        <v>382</v>
      </c>
      <c r="M28" t="s">
        <v>720</v>
      </c>
      <c r="N28" s="58">
        <v>45729</v>
      </c>
      <c r="O28" s="58"/>
      <c r="P28" s="58"/>
      <c r="Q28" s="59" t="str">
        <f ca="1">IF(Register[[#This Row],[Last Verified]]="","",TODAY()-Register[[#This Row],[Last Verified]])</f>
        <v/>
      </c>
      <c r="R2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8" t="s">
        <v>102</v>
      </c>
      <c r="U28" t="s">
        <v>863</v>
      </c>
    </row>
    <row r="29" spans="1:21" x14ac:dyDescent="0.25">
      <c r="A29" t="s">
        <v>864</v>
      </c>
      <c r="B29" t="s">
        <v>716</v>
      </c>
      <c r="C29" t="s">
        <v>865</v>
      </c>
      <c r="F29" s="57" t="s">
        <v>866</v>
      </c>
      <c r="G29" s="57" t="s">
        <v>105</v>
      </c>
      <c r="H29" s="57" t="s">
        <v>106</v>
      </c>
      <c r="I29" s="57" t="s">
        <v>78</v>
      </c>
      <c r="J29" s="57" t="s">
        <v>11</v>
      </c>
      <c r="K29" t="s">
        <v>520</v>
      </c>
      <c r="L29" t="s">
        <v>42</v>
      </c>
      <c r="M29" t="s">
        <v>720</v>
      </c>
      <c r="N29" s="58"/>
      <c r="O29" s="58"/>
      <c r="P29" s="58"/>
      <c r="Q29" s="59" t="str">
        <f ca="1">IF(Register[[#This Row],[Last Verified]]="","",TODAY()-Register[[#This Row],[Last Verified]])</f>
        <v/>
      </c>
      <c r="R2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29" t="s">
        <v>24</v>
      </c>
      <c r="T29" t="s">
        <v>710</v>
      </c>
      <c r="U29" t="s">
        <v>867</v>
      </c>
    </row>
    <row r="30" spans="1:21" x14ac:dyDescent="0.25">
      <c r="A30" t="s">
        <v>868</v>
      </c>
      <c r="B30" t="s">
        <v>716</v>
      </c>
      <c r="C30" t="s">
        <v>869</v>
      </c>
      <c r="F30" s="57" t="s">
        <v>870</v>
      </c>
      <c r="G30" s="57" t="s">
        <v>99</v>
      </c>
      <c r="H30" s="57" t="s">
        <v>108</v>
      </c>
      <c r="I30" s="57" t="s">
        <v>109</v>
      </c>
      <c r="J30" s="57" t="s">
        <v>11</v>
      </c>
      <c r="K30" t="s">
        <v>520</v>
      </c>
      <c r="L30" t="s">
        <v>13</v>
      </c>
      <c r="M30" t="s">
        <v>720</v>
      </c>
      <c r="N30" s="58"/>
      <c r="O30" s="58"/>
      <c r="P30" s="58"/>
      <c r="Q30" s="59" t="str">
        <f ca="1">IF(Register[[#This Row],[Last Verified]]="","",TODAY()-Register[[#This Row],[Last Verified]])</f>
        <v/>
      </c>
      <c r="R3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0" t="s">
        <v>14</v>
      </c>
      <c r="U30" t="s">
        <v>871</v>
      </c>
    </row>
    <row r="31" spans="1:21" x14ac:dyDescent="0.25">
      <c r="A31" t="s">
        <v>872</v>
      </c>
      <c r="B31" t="s">
        <v>716</v>
      </c>
      <c r="C31" t="s">
        <v>873</v>
      </c>
      <c r="F31" s="57" t="s">
        <v>874</v>
      </c>
      <c r="G31" s="57" t="s">
        <v>111</v>
      </c>
      <c r="H31" s="57" t="s">
        <v>112</v>
      </c>
      <c r="I31" s="57" t="s">
        <v>113</v>
      </c>
      <c r="J31" s="57" t="s">
        <v>11</v>
      </c>
      <c r="M31" t="s">
        <v>723</v>
      </c>
      <c r="N31" s="58"/>
      <c r="O31" s="58"/>
      <c r="P31" s="58"/>
      <c r="Q31" s="59" t="str">
        <f ca="1">IF(Register[[#This Row],[Last Verified]]="","",TODAY()-Register[[#This Row],[Last Verified]])</f>
        <v/>
      </c>
      <c r="R3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31" t="s">
        <v>875</v>
      </c>
    </row>
    <row r="32" spans="1:21" x14ac:dyDescent="0.25">
      <c r="A32" t="s">
        <v>876</v>
      </c>
      <c r="B32" t="s">
        <v>716</v>
      </c>
      <c r="C32" t="s">
        <v>877</v>
      </c>
      <c r="F32" s="57" t="s">
        <v>878</v>
      </c>
      <c r="G32" s="57" t="s">
        <v>115</v>
      </c>
      <c r="H32" s="57" t="s">
        <v>116</v>
      </c>
      <c r="I32" s="57" t="s">
        <v>82</v>
      </c>
      <c r="J32" s="57" t="s">
        <v>11</v>
      </c>
      <c r="M32" t="s">
        <v>723</v>
      </c>
      <c r="N32" s="58"/>
      <c r="O32" s="58"/>
      <c r="P32" s="58"/>
      <c r="Q32" s="59" t="str">
        <f ca="1">IF(Register[[#This Row],[Last Verified]]="","",TODAY()-Register[[#This Row],[Last Verified]])</f>
        <v/>
      </c>
      <c r="R3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32" t="s">
        <v>879</v>
      </c>
    </row>
    <row r="33" spans="1:21" x14ac:dyDescent="0.25">
      <c r="A33" t="s">
        <v>880</v>
      </c>
      <c r="B33" t="s">
        <v>716</v>
      </c>
      <c r="C33" t="s">
        <v>881</v>
      </c>
      <c r="F33" s="57" t="s">
        <v>882</v>
      </c>
      <c r="G33" s="57" t="s">
        <v>103</v>
      </c>
      <c r="H33" s="57" t="s">
        <v>118</v>
      </c>
      <c r="I33" s="57" t="s">
        <v>119</v>
      </c>
      <c r="J33" s="57" t="s">
        <v>11</v>
      </c>
      <c r="M33" t="s">
        <v>723</v>
      </c>
      <c r="N33" s="58"/>
      <c r="O33" s="58"/>
      <c r="P33" s="58"/>
      <c r="Q33" s="59" t="str">
        <f ca="1">IF(Register[[#This Row],[Last Verified]]="","",TODAY()-Register[[#This Row],[Last Verified]])</f>
        <v/>
      </c>
      <c r="R3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U33" t="s">
        <v>883</v>
      </c>
    </row>
    <row r="34" spans="1:21" x14ac:dyDescent="0.25">
      <c r="A34" t="s">
        <v>884</v>
      </c>
      <c r="B34" t="s">
        <v>716</v>
      </c>
      <c r="C34" t="s">
        <v>885</v>
      </c>
      <c r="F34" s="57" t="s">
        <v>886</v>
      </c>
      <c r="G34" s="57" t="s">
        <v>113</v>
      </c>
      <c r="H34" s="57" t="s">
        <v>121</v>
      </c>
      <c r="I34" s="57" t="s">
        <v>74</v>
      </c>
      <c r="J34" s="57" t="s">
        <v>887</v>
      </c>
      <c r="K34" t="s">
        <v>168</v>
      </c>
      <c r="L34" t="s">
        <v>709</v>
      </c>
      <c r="M34" t="s">
        <v>720</v>
      </c>
      <c r="N34" s="58">
        <v>44829</v>
      </c>
      <c r="O34" s="58"/>
      <c r="P34" s="58"/>
      <c r="Q34" s="59" t="str">
        <f ca="1">IF(Register[[#This Row],[Last Verified]]="","",TODAY()-Register[[#This Row],[Last Verified]])</f>
        <v/>
      </c>
      <c r="R3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4" t="s">
        <v>18</v>
      </c>
      <c r="U34" t="s">
        <v>888</v>
      </c>
    </row>
    <row r="35" spans="1:21" x14ac:dyDescent="0.25">
      <c r="A35" t="s">
        <v>889</v>
      </c>
      <c r="B35" t="s">
        <v>716</v>
      </c>
      <c r="C35" t="s">
        <v>890</v>
      </c>
      <c r="F35" s="57" t="s">
        <v>891</v>
      </c>
      <c r="G35" s="57" t="s">
        <v>125</v>
      </c>
      <c r="H35" s="57" t="s">
        <v>126</v>
      </c>
      <c r="I35" s="57" t="s">
        <v>111</v>
      </c>
      <c r="J35" s="57" t="s">
        <v>124</v>
      </c>
      <c r="K35" t="s">
        <v>382</v>
      </c>
      <c r="M35" t="s">
        <v>720</v>
      </c>
      <c r="N35" s="58">
        <v>44539</v>
      </c>
      <c r="O35" s="58"/>
      <c r="P35" s="58"/>
      <c r="Q35" s="59" t="str">
        <f ca="1">IF(Register[[#This Row],[Last Verified]]="","",TODAY()-Register[[#This Row],[Last Verified]])</f>
        <v/>
      </c>
      <c r="R3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5" t="s">
        <v>127</v>
      </c>
      <c r="U35" t="s">
        <v>892</v>
      </c>
    </row>
    <row r="36" spans="1:21" x14ac:dyDescent="0.25">
      <c r="A36" t="s">
        <v>893</v>
      </c>
      <c r="B36" t="s">
        <v>716</v>
      </c>
      <c r="C36" t="s">
        <v>894</v>
      </c>
      <c r="F36" s="57" t="s">
        <v>895</v>
      </c>
      <c r="G36" s="57" t="s">
        <v>129</v>
      </c>
      <c r="H36" s="57" t="s">
        <v>130</v>
      </c>
      <c r="I36" s="57" t="s">
        <v>115</v>
      </c>
      <c r="J36" s="57" t="s">
        <v>124</v>
      </c>
      <c r="K36" t="s">
        <v>382</v>
      </c>
      <c r="M36" t="s">
        <v>720</v>
      </c>
      <c r="N36" s="58">
        <v>44539</v>
      </c>
      <c r="O36" s="58"/>
      <c r="P36" s="58"/>
      <c r="Q36" s="59" t="str">
        <f ca="1">IF(Register[[#This Row],[Last Verified]]="","",TODAY()-Register[[#This Row],[Last Verified]])</f>
        <v/>
      </c>
      <c r="R3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6" t="s">
        <v>127</v>
      </c>
      <c r="U36" t="s">
        <v>896</v>
      </c>
    </row>
    <row r="37" spans="1:21" x14ac:dyDescent="0.25">
      <c r="A37" t="s">
        <v>897</v>
      </c>
      <c r="B37" t="s">
        <v>716</v>
      </c>
      <c r="C37" t="s">
        <v>898</v>
      </c>
      <c r="F37" s="57" t="s">
        <v>899</v>
      </c>
      <c r="G37" s="57" t="s">
        <v>84</v>
      </c>
      <c r="H37" s="57" t="s">
        <v>132</v>
      </c>
      <c r="I37" s="57" t="s">
        <v>134</v>
      </c>
      <c r="J37" s="57" t="s">
        <v>124</v>
      </c>
      <c r="K37" t="s">
        <v>170</v>
      </c>
      <c r="L37" t="s">
        <v>900</v>
      </c>
      <c r="M37" t="s">
        <v>720</v>
      </c>
      <c r="N37" s="58"/>
      <c r="O37" s="58"/>
      <c r="P37" s="58"/>
      <c r="Q37" s="59" t="str">
        <f ca="1">IF(Register[[#This Row],[Last Verified]]="","",TODAY()-Register[[#This Row],[Last Verified]])</f>
        <v/>
      </c>
      <c r="R3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7" t="s">
        <v>133</v>
      </c>
      <c r="U37" t="s">
        <v>901</v>
      </c>
    </row>
    <row r="38" spans="1:21" x14ac:dyDescent="0.25">
      <c r="A38" t="s">
        <v>902</v>
      </c>
      <c r="B38" t="s">
        <v>716</v>
      </c>
      <c r="C38" t="s">
        <v>903</v>
      </c>
      <c r="F38" s="57" t="s">
        <v>904</v>
      </c>
      <c r="G38" s="57" t="s">
        <v>119</v>
      </c>
      <c r="H38" s="57" t="s">
        <v>136</v>
      </c>
      <c r="I38" s="57" t="s">
        <v>90</v>
      </c>
      <c r="J38" s="57" t="s">
        <v>124</v>
      </c>
      <c r="K38" t="s">
        <v>170</v>
      </c>
      <c r="L38" t="s">
        <v>900</v>
      </c>
      <c r="M38" t="s">
        <v>720</v>
      </c>
      <c r="N38" s="58"/>
      <c r="O38" s="58"/>
      <c r="P38" s="58"/>
      <c r="Q38" s="59" t="str">
        <f ca="1">IF(Register[[#This Row],[Last Verified]]="","",TODAY()-Register[[#This Row],[Last Verified]])</f>
        <v/>
      </c>
      <c r="R3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8" t="s">
        <v>133</v>
      </c>
      <c r="U38" t="s">
        <v>905</v>
      </c>
    </row>
    <row r="39" spans="1:21" x14ac:dyDescent="0.25">
      <c r="A39" t="s">
        <v>906</v>
      </c>
      <c r="B39" t="s">
        <v>716</v>
      </c>
      <c r="C39" t="s">
        <v>907</v>
      </c>
      <c r="F39" s="57" t="s">
        <v>908</v>
      </c>
      <c r="G39" s="57" t="s">
        <v>109</v>
      </c>
      <c r="H39" s="57" t="s">
        <v>138</v>
      </c>
      <c r="I39" s="57" t="s">
        <v>86</v>
      </c>
      <c r="J39" s="57" t="s">
        <v>124</v>
      </c>
      <c r="K39" t="s">
        <v>170</v>
      </c>
      <c r="L39" t="s">
        <v>900</v>
      </c>
      <c r="M39" t="s">
        <v>720</v>
      </c>
      <c r="N39" s="58"/>
      <c r="O39" s="58"/>
      <c r="P39" s="58"/>
      <c r="Q39" s="59" t="str">
        <f ca="1">IF(Register[[#This Row],[Last Verified]]="","",TODAY()-Register[[#This Row],[Last Verified]])</f>
        <v/>
      </c>
      <c r="R3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39" t="s">
        <v>133</v>
      </c>
      <c r="U39" t="s">
        <v>909</v>
      </c>
    </row>
    <row r="40" spans="1:21" x14ac:dyDescent="0.25">
      <c r="A40" t="s">
        <v>910</v>
      </c>
      <c r="B40" t="s">
        <v>716</v>
      </c>
      <c r="C40" t="s">
        <v>911</v>
      </c>
      <c r="F40" s="57" t="s">
        <v>912</v>
      </c>
      <c r="G40" s="57" t="s">
        <v>140</v>
      </c>
      <c r="H40" s="57" t="s">
        <v>141</v>
      </c>
      <c r="I40" s="57" t="s">
        <v>95</v>
      </c>
      <c r="J40" s="57" t="s">
        <v>124</v>
      </c>
      <c r="K40" t="s">
        <v>170</v>
      </c>
      <c r="L40" t="s">
        <v>900</v>
      </c>
      <c r="M40" t="s">
        <v>720</v>
      </c>
      <c r="N40" s="58"/>
      <c r="O40" s="58"/>
      <c r="P40" s="58"/>
      <c r="Q40" s="59" t="str">
        <f ca="1">IF(Register[[#This Row],[Last Verified]]="","",TODAY()-Register[[#This Row],[Last Verified]])</f>
        <v/>
      </c>
      <c r="R4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40" t="s">
        <v>133</v>
      </c>
      <c r="U40" t="s">
        <v>913</v>
      </c>
    </row>
    <row r="41" spans="1:21" x14ac:dyDescent="0.25">
      <c r="A41" t="s">
        <v>914</v>
      </c>
      <c r="B41" t="s">
        <v>716</v>
      </c>
      <c r="C41" t="s">
        <v>915</v>
      </c>
      <c r="F41" s="57" t="s">
        <v>916</v>
      </c>
      <c r="G41" s="57" t="s">
        <v>143</v>
      </c>
      <c r="H41" s="57" t="s">
        <v>144</v>
      </c>
      <c r="I41" s="57" t="s">
        <v>143</v>
      </c>
      <c r="J41" s="57" t="s">
        <v>124</v>
      </c>
      <c r="K41" t="s">
        <v>170</v>
      </c>
      <c r="L41" t="s">
        <v>900</v>
      </c>
      <c r="M41" t="s">
        <v>720</v>
      </c>
      <c r="N41" s="58"/>
      <c r="O41" s="58"/>
      <c r="P41" s="58"/>
      <c r="Q41" s="59" t="str">
        <f ca="1">IF(Register[[#This Row],[Last Verified]]="","",TODAY()-Register[[#This Row],[Last Verified]])</f>
        <v/>
      </c>
      <c r="R4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41" t="s">
        <v>133</v>
      </c>
      <c r="U41" t="s">
        <v>917</v>
      </c>
    </row>
    <row r="42" spans="1:21" x14ac:dyDescent="0.25">
      <c r="A42" t="s">
        <v>918</v>
      </c>
      <c r="B42" t="s">
        <v>716</v>
      </c>
      <c r="C42" t="s">
        <v>919</v>
      </c>
      <c r="F42" s="57" t="s">
        <v>920</v>
      </c>
      <c r="G42" s="57" t="s">
        <v>134</v>
      </c>
      <c r="H42" s="57" t="s">
        <v>146</v>
      </c>
      <c r="I42" s="57" t="s">
        <v>105</v>
      </c>
      <c r="J42" s="57" t="s">
        <v>124</v>
      </c>
      <c r="K42" t="s">
        <v>520</v>
      </c>
      <c r="L42" t="s">
        <v>22</v>
      </c>
      <c r="M42" t="s">
        <v>720</v>
      </c>
      <c r="N42" s="58"/>
      <c r="O42" s="58">
        <v>44592</v>
      </c>
      <c r="P42" s="58"/>
      <c r="Q42" s="59" t="str">
        <f ca="1">IF(Register[[#This Row],[Last Verified]]="","",TODAY()-Register[[#This Row],[Last Verified]])</f>
        <v/>
      </c>
      <c r="R4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42" t="s">
        <v>24</v>
      </c>
      <c r="T42" t="s">
        <v>14</v>
      </c>
      <c r="U42" t="s">
        <v>921</v>
      </c>
    </row>
    <row r="43" spans="1:21" x14ac:dyDescent="0.25">
      <c r="A43" t="s">
        <v>922</v>
      </c>
      <c r="B43" t="s">
        <v>716</v>
      </c>
      <c r="C43" t="s">
        <v>923</v>
      </c>
      <c r="F43" s="57" t="s">
        <v>924</v>
      </c>
      <c r="G43" s="57" t="s">
        <v>148</v>
      </c>
      <c r="H43" s="57" t="s">
        <v>149</v>
      </c>
      <c r="I43" s="57" t="s">
        <v>148</v>
      </c>
      <c r="J43" s="57" t="s">
        <v>124</v>
      </c>
      <c r="K43" t="s">
        <v>520</v>
      </c>
      <c r="L43" t="s">
        <v>22</v>
      </c>
      <c r="M43" t="s">
        <v>720</v>
      </c>
      <c r="N43" s="58"/>
      <c r="O43" s="58">
        <v>44592</v>
      </c>
      <c r="P43" s="58"/>
      <c r="Q43" s="59" t="str">
        <f ca="1">IF(Register[[#This Row],[Last Verified]]="","",TODAY()-Register[[#This Row],[Last Verified]])</f>
        <v/>
      </c>
      <c r="R4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43" t="s">
        <v>24</v>
      </c>
      <c r="T43" t="s">
        <v>14</v>
      </c>
      <c r="U43" t="s">
        <v>925</v>
      </c>
    </row>
    <row r="44" spans="1:21" x14ac:dyDescent="0.25">
      <c r="A44" t="s">
        <v>926</v>
      </c>
      <c r="B44" t="s">
        <v>716</v>
      </c>
      <c r="C44" t="s">
        <v>927</v>
      </c>
      <c r="F44" s="57" t="s">
        <v>928</v>
      </c>
      <c r="G44" s="57" t="s">
        <v>80</v>
      </c>
      <c r="H44" s="57" t="s">
        <v>151</v>
      </c>
      <c r="I44" s="57" t="s">
        <v>140</v>
      </c>
      <c r="J44" s="57" t="s">
        <v>124</v>
      </c>
      <c r="K44" t="s">
        <v>520</v>
      </c>
      <c r="L44" t="s">
        <v>22</v>
      </c>
      <c r="M44" t="s">
        <v>720</v>
      </c>
      <c r="N44" s="58"/>
      <c r="O44" s="58">
        <v>44592</v>
      </c>
      <c r="P44" s="58"/>
      <c r="Q44" s="59" t="str">
        <f ca="1">IF(Register[[#This Row],[Last Verified]]="","",TODAY()-Register[[#This Row],[Last Verified]])</f>
        <v/>
      </c>
      <c r="R4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44" t="s">
        <v>14</v>
      </c>
      <c r="U44" t="s">
        <v>929</v>
      </c>
    </row>
    <row r="45" spans="1:21" x14ac:dyDescent="0.25">
      <c r="A45" t="s">
        <v>930</v>
      </c>
      <c r="B45" t="s">
        <v>716</v>
      </c>
      <c r="C45" t="s">
        <v>931</v>
      </c>
      <c r="F45" s="57" t="s">
        <v>932</v>
      </c>
      <c r="G45" s="57" t="s">
        <v>72</v>
      </c>
      <c r="H45" s="57" t="s">
        <v>153</v>
      </c>
      <c r="I45" s="57" t="s">
        <v>154</v>
      </c>
      <c r="J45" s="57" t="s">
        <v>124</v>
      </c>
      <c r="K45" t="s">
        <v>520</v>
      </c>
      <c r="L45" t="s">
        <v>13</v>
      </c>
      <c r="M45" t="s">
        <v>720</v>
      </c>
      <c r="N45" s="58"/>
      <c r="O45" s="58">
        <v>44592</v>
      </c>
      <c r="P45" s="58"/>
      <c r="Q45" s="59" t="str">
        <f ca="1">IF(Register[[#This Row],[Last Verified]]="","",TODAY()-Register[[#This Row],[Last Verified]])</f>
        <v/>
      </c>
      <c r="R4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45" t="s">
        <v>14</v>
      </c>
      <c r="U45" t="s">
        <v>933</v>
      </c>
    </row>
    <row r="46" spans="1:21" x14ac:dyDescent="0.25">
      <c r="A46" t="s">
        <v>934</v>
      </c>
      <c r="B46" t="s">
        <v>716</v>
      </c>
      <c r="C46" t="s">
        <v>935</v>
      </c>
      <c r="F46" s="57" t="s">
        <v>936</v>
      </c>
      <c r="G46" s="57" t="s">
        <v>156</v>
      </c>
      <c r="H46" s="57" t="s">
        <v>157</v>
      </c>
      <c r="I46" s="57" t="s">
        <v>158</v>
      </c>
      <c r="J46" s="57" t="s">
        <v>124</v>
      </c>
      <c r="K46" t="s">
        <v>520</v>
      </c>
      <c r="L46" t="s">
        <v>13</v>
      </c>
      <c r="M46" t="s">
        <v>720</v>
      </c>
      <c r="N46" s="58"/>
      <c r="O46" s="58">
        <v>44592</v>
      </c>
      <c r="P46" s="58"/>
      <c r="Q46" s="59" t="str">
        <f ca="1">IF(Register[[#This Row],[Last Verified]]="","",TODAY()-Register[[#This Row],[Last Verified]])</f>
        <v/>
      </c>
      <c r="R4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46" t="s">
        <v>14</v>
      </c>
      <c r="U46" t="s">
        <v>937</v>
      </c>
    </row>
    <row r="47" spans="1:21" x14ac:dyDescent="0.25">
      <c r="A47" t="s">
        <v>938</v>
      </c>
      <c r="B47" t="s">
        <v>716</v>
      </c>
      <c r="C47" t="s">
        <v>939</v>
      </c>
      <c r="F47" s="57" t="s">
        <v>940</v>
      </c>
      <c r="G47" s="57" t="s">
        <v>158</v>
      </c>
      <c r="H47" s="57" t="s">
        <v>160</v>
      </c>
      <c r="I47" s="57" t="s">
        <v>156</v>
      </c>
      <c r="J47" s="57" t="s">
        <v>124</v>
      </c>
      <c r="K47" t="s">
        <v>520</v>
      </c>
      <c r="L47" t="s">
        <v>42</v>
      </c>
      <c r="M47" t="s">
        <v>720</v>
      </c>
      <c r="N47" s="58"/>
      <c r="O47" s="58"/>
      <c r="P47" s="58"/>
      <c r="Q47" s="59" t="str">
        <f ca="1">IF(Register[[#This Row],[Last Verified]]="","",TODAY()-Register[[#This Row],[Last Verified]])</f>
        <v/>
      </c>
      <c r="R4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47" t="s">
        <v>24</v>
      </c>
      <c r="T47" t="s">
        <v>14</v>
      </c>
      <c r="U47" t="s">
        <v>941</v>
      </c>
    </row>
    <row r="48" spans="1:21" x14ac:dyDescent="0.25">
      <c r="A48" t="s">
        <v>942</v>
      </c>
      <c r="B48" t="s">
        <v>716</v>
      </c>
      <c r="C48" t="s">
        <v>943</v>
      </c>
      <c r="F48" s="57" t="s">
        <v>944</v>
      </c>
      <c r="G48" s="57" t="s">
        <v>76</v>
      </c>
      <c r="H48" s="57" t="s">
        <v>162</v>
      </c>
      <c r="I48" s="57" t="s">
        <v>768</v>
      </c>
      <c r="J48" s="57" t="s">
        <v>124</v>
      </c>
      <c r="K48" t="s">
        <v>520</v>
      </c>
      <c r="L48" t="s">
        <v>42</v>
      </c>
      <c r="M48" t="s">
        <v>720</v>
      </c>
      <c r="N48" s="58"/>
      <c r="O48" s="58"/>
      <c r="P48" s="58"/>
      <c r="Q48" s="59" t="str">
        <f ca="1">IF(Register[[#This Row],[Last Verified]]="","",TODAY()-Register[[#This Row],[Last Verified]])</f>
        <v/>
      </c>
      <c r="R4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48" t="s">
        <v>24</v>
      </c>
      <c r="T48" t="s">
        <v>14</v>
      </c>
      <c r="U48" t="s">
        <v>945</v>
      </c>
    </row>
    <row r="49" spans="1:21" x14ac:dyDescent="0.25">
      <c r="A49" t="s">
        <v>946</v>
      </c>
      <c r="B49" t="s">
        <v>716</v>
      </c>
      <c r="C49" t="s">
        <v>947</v>
      </c>
      <c r="F49" s="57" t="s">
        <v>948</v>
      </c>
      <c r="G49" s="57" t="s">
        <v>154</v>
      </c>
      <c r="H49" s="57" t="s">
        <v>164</v>
      </c>
      <c r="I49" s="57" t="s">
        <v>768</v>
      </c>
      <c r="J49" s="57" t="s">
        <v>124</v>
      </c>
      <c r="K49" t="s">
        <v>520</v>
      </c>
      <c r="L49" t="s">
        <v>42</v>
      </c>
      <c r="M49" t="s">
        <v>720</v>
      </c>
      <c r="N49" s="58"/>
      <c r="O49" s="58"/>
      <c r="P49" s="58"/>
      <c r="Q49" s="59" t="str">
        <f ca="1">IF(Register[[#This Row],[Last Verified]]="","",TODAY()-Register[[#This Row],[Last Verified]])</f>
        <v/>
      </c>
      <c r="R4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S49" t="s">
        <v>24</v>
      </c>
      <c r="T49" t="s">
        <v>14</v>
      </c>
      <c r="U49" t="s">
        <v>949</v>
      </c>
    </row>
    <row r="50" spans="1:21" x14ac:dyDescent="0.25">
      <c r="A50" t="s">
        <v>950</v>
      </c>
      <c r="B50" t="s">
        <v>716</v>
      </c>
      <c r="C50" t="s">
        <v>165</v>
      </c>
      <c r="F50" s="57" t="s">
        <v>951</v>
      </c>
      <c r="G50" s="57" t="s">
        <v>166</v>
      </c>
      <c r="H50" s="57" t="s">
        <v>768</v>
      </c>
      <c r="I50" s="57" t="s">
        <v>768</v>
      </c>
      <c r="J50" s="57" t="s">
        <v>768</v>
      </c>
      <c r="K50" t="s">
        <v>520</v>
      </c>
      <c r="L50" t="s">
        <v>22</v>
      </c>
      <c r="M50" t="s">
        <v>720</v>
      </c>
      <c r="N50" s="58">
        <v>45729</v>
      </c>
      <c r="O50" s="58"/>
      <c r="P50" s="58"/>
      <c r="Q50" s="59" t="str">
        <f ca="1">IF(Register[[#This Row],[Last Verified]]="","",TODAY()-Register[[#This Row],[Last Verified]])</f>
        <v/>
      </c>
      <c r="R5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50" t="s">
        <v>14</v>
      </c>
      <c r="U50" t="s">
        <v>952</v>
      </c>
    </row>
    <row r="51" spans="1:21" x14ac:dyDescent="0.25">
      <c r="A51" t="s">
        <v>953</v>
      </c>
      <c r="B51" t="s">
        <v>717</v>
      </c>
      <c r="C51" t="s">
        <v>185</v>
      </c>
      <c r="F51" s="57" t="s">
        <v>954</v>
      </c>
      <c r="G51" s="57" t="s">
        <v>187</v>
      </c>
      <c r="H51" s="57" t="s">
        <v>768</v>
      </c>
      <c r="I51" s="57" t="s">
        <v>768</v>
      </c>
      <c r="J51" s="57" t="s">
        <v>955</v>
      </c>
      <c r="K51" t="s">
        <v>520</v>
      </c>
      <c r="L51" t="s">
        <v>956</v>
      </c>
      <c r="M51" t="s">
        <v>720</v>
      </c>
      <c r="N51" s="58"/>
      <c r="O51" s="58"/>
      <c r="P51" s="58"/>
      <c r="Q51" s="59" t="str">
        <f ca="1">IF(Register[[#This Row],[Last Verified]]="","",TODAY()-Register[[#This Row],[Last Verified]])</f>
        <v/>
      </c>
      <c r="R5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1" t="s">
        <v>957</v>
      </c>
    </row>
    <row r="52" spans="1:21" x14ac:dyDescent="0.25">
      <c r="A52" t="s">
        <v>958</v>
      </c>
      <c r="B52" t="s">
        <v>717</v>
      </c>
      <c r="C52" t="s">
        <v>205</v>
      </c>
      <c r="F52" s="57" t="s">
        <v>959</v>
      </c>
      <c r="G52" s="57" t="s">
        <v>207</v>
      </c>
      <c r="H52" s="57" t="s">
        <v>768</v>
      </c>
      <c r="I52" s="57" t="s">
        <v>768</v>
      </c>
      <c r="J52" s="57" t="s">
        <v>206</v>
      </c>
      <c r="K52" t="s">
        <v>168</v>
      </c>
      <c r="L52" t="s">
        <v>709</v>
      </c>
      <c r="M52" t="s">
        <v>720</v>
      </c>
      <c r="N52" s="58"/>
      <c r="O52" s="58"/>
      <c r="P52" s="58"/>
      <c r="Q52" s="59" t="str">
        <f ca="1">IF(Register[[#This Row],[Last Verified]]="","",TODAY()-Register[[#This Row],[Last Verified]])</f>
        <v/>
      </c>
      <c r="R5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52" t="s">
        <v>209</v>
      </c>
      <c r="U52" t="s">
        <v>960</v>
      </c>
    </row>
    <row r="53" spans="1:21" x14ac:dyDescent="0.25">
      <c r="A53" t="s">
        <v>961</v>
      </c>
      <c r="B53" t="s">
        <v>717</v>
      </c>
      <c r="C53" t="s">
        <v>195</v>
      </c>
      <c r="F53" s="57" t="s">
        <v>962</v>
      </c>
      <c r="G53" s="57" t="s">
        <v>197</v>
      </c>
      <c r="H53" s="57" t="s">
        <v>768</v>
      </c>
      <c r="I53" s="57" t="s">
        <v>768</v>
      </c>
      <c r="J53" s="57" t="s">
        <v>963</v>
      </c>
      <c r="K53" t="s">
        <v>520</v>
      </c>
      <c r="L53" t="s">
        <v>964</v>
      </c>
      <c r="M53" t="s">
        <v>720</v>
      </c>
      <c r="N53" s="58"/>
      <c r="O53" s="58"/>
      <c r="P53" s="58"/>
      <c r="Q53" s="59" t="str">
        <f ca="1">IF(Register[[#This Row],[Last Verified]]="","",TODAY()-Register[[#This Row],[Last Verified]])</f>
        <v/>
      </c>
      <c r="R5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3" t="s">
        <v>965</v>
      </c>
    </row>
    <row r="54" spans="1:21" x14ac:dyDescent="0.25">
      <c r="A54" t="s">
        <v>966</v>
      </c>
      <c r="B54" t="s">
        <v>717</v>
      </c>
      <c r="C54" t="s">
        <v>199</v>
      </c>
      <c r="F54" s="57" t="s">
        <v>967</v>
      </c>
      <c r="G54" s="57" t="s">
        <v>201</v>
      </c>
      <c r="H54" s="57" t="s">
        <v>768</v>
      </c>
      <c r="I54" s="57" t="s">
        <v>768</v>
      </c>
      <c r="J54" s="57" t="s">
        <v>968</v>
      </c>
      <c r="K54" t="s">
        <v>520</v>
      </c>
      <c r="L54" t="s">
        <v>964</v>
      </c>
      <c r="M54" t="s">
        <v>720</v>
      </c>
      <c r="N54" s="58"/>
      <c r="O54" s="58"/>
      <c r="P54" s="58"/>
      <c r="Q54" s="59" t="str">
        <f ca="1">IF(Register[[#This Row],[Last Verified]]="","",TODAY()-Register[[#This Row],[Last Verified]])</f>
        <v/>
      </c>
      <c r="R5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4" t="s">
        <v>969</v>
      </c>
    </row>
    <row r="55" spans="1:21" x14ac:dyDescent="0.25">
      <c r="A55" t="s">
        <v>970</v>
      </c>
      <c r="B55" t="s">
        <v>717</v>
      </c>
      <c r="C55" t="s">
        <v>210</v>
      </c>
      <c r="F55" s="57" t="s">
        <v>971</v>
      </c>
      <c r="G55" s="57" t="s">
        <v>211</v>
      </c>
      <c r="H55" s="57" t="s">
        <v>768</v>
      </c>
      <c r="I55" s="57" t="s">
        <v>768</v>
      </c>
      <c r="J55" s="57" t="s">
        <v>206</v>
      </c>
      <c r="K55" t="s">
        <v>168</v>
      </c>
      <c r="L55" t="s">
        <v>709</v>
      </c>
      <c r="M55" t="s">
        <v>720</v>
      </c>
      <c r="N55" s="58"/>
      <c r="O55" s="58"/>
      <c r="P55" s="58"/>
      <c r="Q55" s="59" t="str">
        <f ca="1">IF(Register[[#This Row],[Last Verified]]="","",TODAY()-Register[[#This Row],[Last Verified]])</f>
        <v/>
      </c>
      <c r="R5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55" t="s">
        <v>212</v>
      </c>
      <c r="U55" t="s">
        <v>972</v>
      </c>
    </row>
    <row r="56" spans="1:21" x14ac:dyDescent="0.25">
      <c r="A56" t="s">
        <v>973</v>
      </c>
      <c r="B56" t="s">
        <v>717</v>
      </c>
      <c r="C56" t="s">
        <v>189</v>
      </c>
      <c r="F56" s="57" t="s">
        <v>974</v>
      </c>
      <c r="G56" s="57" t="s">
        <v>191</v>
      </c>
      <c r="H56" s="57" t="s">
        <v>768</v>
      </c>
      <c r="I56" s="57" t="s">
        <v>768</v>
      </c>
      <c r="J56" s="57" t="s">
        <v>975</v>
      </c>
      <c r="K56" t="s">
        <v>520</v>
      </c>
      <c r="L56" t="s">
        <v>956</v>
      </c>
      <c r="M56" t="s">
        <v>720</v>
      </c>
      <c r="N56" s="58"/>
      <c r="O56" s="58"/>
      <c r="P56" s="58"/>
      <c r="Q56" s="59" t="str">
        <f ca="1">IF(Register[[#This Row],[Last Verified]]="","",TODAY()-Register[[#This Row],[Last Verified]])</f>
        <v/>
      </c>
      <c r="R5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6" t="s">
        <v>976</v>
      </c>
    </row>
    <row r="57" spans="1:21" x14ac:dyDescent="0.25">
      <c r="A57" t="s">
        <v>977</v>
      </c>
      <c r="B57" t="s">
        <v>717</v>
      </c>
      <c r="C57" t="s">
        <v>236</v>
      </c>
      <c r="F57" s="57" t="s">
        <v>978</v>
      </c>
      <c r="G57" s="57" t="s">
        <v>238</v>
      </c>
      <c r="H57" s="57" t="s">
        <v>768</v>
      </c>
      <c r="I57" s="57" t="s">
        <v>768</v>
      </c>
      <c r="J57" s="57" t="s">
        <v>979</v>
      </c>
      <c r="K57" t="s">
        <v>520</v>
      </c>
      <c r="L57" t="s">
        <v>964</v>
      </c>
      <c r="M57" t="s">
        <v>720</v>
      </c>
      <c r="N57" s="58">
        <v>46210</v>
      </c>
      <c r="O57" s="58"/>
      <c r="P57" s="58"/>
      <c r="Q57" s="59" t="str">
        <f ca="1">IF(Register[[#This Row],[Last Verified]]="","",TODAY()-Register[[#This Row],[Last Verified]])</f>
        <v/>
      </c>
      <c r="R5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57" t="s">
        <v>235</v>
      </c>
      <c r="U57" t="s">
        <v>980</v>
      </c>
    </row>
    <row r="58" spans="1:21" x14ac:dyDescent="0.25">
      <c r="A58" t="s">
        <v>981</v>
      </c>
      <c r="B58" t="s">
        <v>717</v>
      </c>
      <c r="C58" t="s">
        <v>202</v>
      </c>
      <c r="F58" s="57" t="s">
        <v>982</v>
      </c>
      <c r="G58" s="57" t="s">
        <v>204</v>
      </c>
      <c r="H58" s="57" t="s">
        <v>768</v>
      </c>
      <c r="I58" s="57" t="s">
        <v>768</v>
      </c>
      <c r="J58" s="57" t="s">
        <v>983</v>
      </c>
      <c r="K58" t="s">
        <v>520</v>
      </c>
      <c r="L58" t="s">
        <v>964</v>
      </c>
      <c r="M58" t="s">
        <v>720</v>
      </c>
      <c r="N58" s="58"/>
      <c r="O58" s="58"/>
      <c r="P58" s="58"/>
      <c r="Q58" s="59" t="str">
        <f ca="1">IF(Register[[#This Row],[Last Verified]]="","",TODAY()-Register[[#This Row],[Last Verified]])</f>
        <v/>
      </c>
      <c r="R5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8" t="s">
        <v>984</v>
      </c>
    </row>
    <row r="59" spans="1:21" x14ac:dyDescent="0.25">
      <c r="A59" t="s">
        <v>985</v>
      </c>
      <c r="B59" t="s">
        <v>717</v>
      </c>
      <c r="C59" t="s">
        <v>224</v>
      </c>
      <c r="F59" s="57" t="s">
        <v>986</v>
      </c>
      <c r="G59" s="57" t="s">
        <v>225</v>
      </c>
      <c r="H59" s="57" t="s">
        <v>768</v>
      </c>
      <c r="I59" s="57" t="s">
        <v>768</v>
      </c>
      <c r="J59" s="57" t="s">
        <v>206</v>
      </c>
      <c r="K59" t="s">
        <v>382</v>
      </c>
      <c r="M59" t="s">
        <v>720</v>
      </c>
      <c r="N59" s="58">
        <v>45808</v>
      </c>
      <c r="O59" s="58"/>
      <c r="P59" s="58"/>
      <c r="Q59" s="59" t="str">
        <f ca="1">IF(Register[[#This Row],[Last Verified]]="","",TODAY()-Register[[#This Row],[Last Verified]])</f>
        <v/>
      </c>
      <c r="R5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59" t="s">
        <v>987</v>
      </c>
    </row>
    <row r="60" spans="1:21" x14ac:dyDescent="0.25">
      <c r="A60" t="s">
        <v>988</v>
      </c>
      <c r="B60" t="s">
        <v>717</v>
      </c>
      <c r="C60" t="s">
        <v>175</v>
      </c>
      <c r="F60" s="57" t="s">
        <v>989</v>
      </c>
      <c r="G60" s="57" t="s">
        <v>177</v>
      </c>
      <c r="H60" s="57" t="s">
        <v>768</v>
      </c>
      <c r="I60" s="57" t="s">
        <v>768</v>
      </c>
      <c r="J60" s="57" t="s">
        <v>990</v>
      </c>
      <c r="K60" t="s">
        <v>520</v>
      </c>
      <c r="L60" t="s">
        <v>991</v>
      </c>
      <c r="M60" t="s">
        <v>720</v>
      </c>
      <c r="N60" s="58"/>
      <c r="O60" s="58"/>
      <c r="P60" s="58"/>
      <c r="Q60" s="59" t="str">
        <f ca="1">IF(Register[[#This Row],[Last Verified]]="","",TODAY()-Register[[#This Row],[Last Verified]])</f>
        <v/>
      </c>
      <c r="R6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0" t="s">
        <v>992</v>
      </c>
    </row>
    <row r="61" spans="1:21" x14ac:dyDescent="0.25">
      <c r="A61" t="s">
        <v>993</v>
      </c>
      <c r="B61" t="s">
        <v>717</v>
      </c>
      <c r="C61" t="s">
        <v>233</v>
      </c>
      <c r="F61" s="57" t="s">
        <v>768</v>
      </c>
      <c r="G61" s="57" t="s">
        <v>768</v>
      </c>
      <c r="H61" s="57" t="s">
        <v>768</v>
      </c>
      <c r="I61" s="57" t="s">
        <v>768</v>
      </c>
      <c r="J61" s="57" t="s">
        <v>994</v>
      </c>
      <c r="K61" t="s">
        <v>520</v>
      </c>
      <c r="L61" t="s">
        <v>964</v>
      </c>
      <c r="M61" t="s">
        <v>720</v>
      </c>
      <c r="N61" s="58">
        <v>46210</v>
      </c>
      <c r="O61" s="58"/>
      <c r="P61" s="58"/>
      <c r="Q61" s="59" t="str">
        <f ca="1">IF(Register[[#This Row],[Last Verified]]="","",TODAY()-Register[[#This Row],[Last Verified]])</f>
        <v/>
      </c>
      <c r="R6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Verify due</v>
      </c>
      <c r="T61" t="s">
        <v>235</v>
      </c>
      <c r="U61" t="s">
        <v>995</v>
      </c>
    </row>
    <row r="62" spans="1:21" x14ac:dyDescent="0.25">
      <c r="A62" t="s">
        <v>996</v>
      </c>
      <c r="B62" t="s">
        <v>717</v>
      </c>
      <c r="C62" t="s">
        <v>227</v>
      </c>
      <c r="F62" s="57" t="s">
        <v>997</v>
      </c>
      <c r="G62" s="57" t="s">
        <v>228</v>
      </c>
      <c r="H62" s="57" t="s">
        <v>768</v>
      </c>
      <c r="I62" s="57" t="s">
        <v>768</v>
      </c>
      <c r="J62" s="57" t="s">
        <v>11</v>
      </c>
      <c r="K62" t="s">
        <v>382</v>
      </c>
      <c r="M62" t="s">
        <v>720</v>
      </c>
      <c r="N62" s="58">
        <v>45808</v>
      </c>
      <c r="O62" s="58"/>
      <c r="P62" s="58"/>
      <c r="Q62" s="59" t="str">
        <f ca="1">IF(Register[[#This Row],[Last Verified]]="","",TODAY()-Register[[#This Row],[Last Verified]])</f>
        <v/>
      </c>
      <c r="R6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2" t="s">
        <v>998</v>
      </c>
    </row>
    <row r="63" spans="1:21" x14ac:dyDescent="0.25">
      <c r="A63" t="s">
        <v>999</v>
      </c>
      <c r="B63" t="s">
        <v>717</v>
      </c>
      <c r="C63" t="s">
        <v>192</v>
      </c>
      <c r="F63" s="57" t="s">
        <v>1000</v>
      </c>
      <c r="G63" s="57" t="s">
        <v>194</v>
      </c>
      <c r="H63" s="57" t="s">
        <v>768</v>
      </c>
      <c r="I63" s="57" t="s">
        <v>768</v>
      </c>
      <c r="J63" s="57" t="s">
        <v>1001</v>
      </c>
      <c r="K63" t="s">
        <v>520</v>
      </c>
      <c r="L63" t="s">
        <v>956</v>
      </c>
      <c r="M63" t="s">
        <v>720</v>
      </c>
      <c r="N63" s="58"/>
      <c r="O63" s="58"/>
      <c r="P63" s="58"/>
      <c r="Q63" s="59" t="str">
        <f ca="1">IF(Register[[#This Row],[Last Verified]]="","",TODAY()-Register[[#This Row],[Last Verified]])</f>
        <v/>
      </c>
      <c r="R6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3" t="s">
        <v>1002</v>
      </c>
    </row>
    <row r="64" spans="1:21" x14ac:dyDescent="0.25">
      <c r="A64" t="s">
        <v>1003</v>
      </c>
      <c r="B64" t="s">
        <v>717</v>
      </c>
      <c r="C64" t="s">
        <v>229</v>
      </c>
      <c r="F64" s="57" t="s">
        <v>1004</v>
      </c>
      <c r="G64" s="57" t="s">
        <v>230</v>
      </c>
      <c r="H64" s="57" t="s">
        <v>768</v>
      </c>
      <c r="I64" s="57" t="s">
        <v>768</v>
      </c>
      <c r="J64" s="57" t="s">
        <v>206</v>
      </c>
      <c r="K64" t="s">
        <v>382</v>
      </c>
      <c r="M64" t="s">
        <v>720</v>
      </c>
      <c r="N64" s="58">
        <v>45808</v>
      </c>
      <c r="O64" s="58"/>
      <c r="P64" s="58"/>
      <c r="Q64" s="59" t="str">
        <f ca="1">IF(Register[[#This Row],[Last Verified]]="","",TODAY()-Register[[#This Row],[Last Verified]])</f>
        <v/>
      </c>
      <c r="R6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4" t="s">
        <v>1005</v>
      </c>
    </row>
    <row r="65" spans="1:21" x14ac:dyDescent="0.25">
      <c r="A65" t="s">
        <v>1006</v>
      </c>
      <c r="B65" t="s">
        <v>717</v>
      </c>
      <c r="C65" t="s">
        <v>213</v>
      </c>
      <c r="F65" s="57" t="s">
        <v>1007</v>
      </c>
      <c r="G65" s="57" t="s">
        <v>215</v>
      </c>
      <c r="H65" s="57" t="s">
        <v>768</v>
      </c>
      <c r="I65" s="57" t="s">
        <v>768</v>
      </c>
      <c r="J65" s="57" t="s">
        <v>1008</v>
      </c>
      <c r="K65" t="s">
        <v>168</v>
      </c>
      <c r="L65" t="s">
        <v>709</v>
      </c>
      <c r="M65" t="s">
        <v>720</v>
      </c>
      <c r="N65" s="58"/>
      <c r="O65" s="58"/>
      <c r="P65" s="58"/>
      <c r="Q65" s="59" t="str">
        <f ca="1">IF(Register[[#This Row],[Last Verified]]="","",TODAY()-Register[[#This Row],[Last Verified]])</f>
        <v/>
      </c>
      <c r="R6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5" t="s">
        <v>1009</v>
      </c>
    </row>
    <row r="66" spans="1:21" x14ac:dyDescent="0.25">
      <c r="A66" t="s">
        <v>1010</v>
      </c>
      <c r="B66" t="s">
        <v>717</v>
      </c>
      <c r="C66" t="s">
        <v>216</v>
      </c>
      <c r="F66" s="57" t="s">
        <v>1011</v>
      </c>
      <c r="G66" s="57" t="s">
        <v>218</v>
      </c>
      <c r="H66" s="57" t="s">
        <v>768</v>
      </c>
      <c r="I66" s="57" t="s">
        <v>768</v>
      </c>
      <c r="J66" s="57" t="s">
        <v>1012</v>
      </c>
      <c r="K66" t="s">
        <v>168</v>
      </c>
      <c r="L66" t="s">
        <v>709</v>
      </c>
      <c r="M66" t="s">
        <v>720</v>
      </c>
      <c r="N66" s="58"/>
      <c r="O66" s="58"/>
      <c r="P66" s="58"/>
      <c r="Q66" s="59" t="str">
        <f ca="1">IF(Register[[#This Row],[Last Verified]]="","",TODAY()-Register[[#This Row],[Last Verified]])</f>
        <v/>
      </c>
      <c r="R6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6" t="s">
        <v>1013</v>
      </c>
    </row>
    <row r="67" spans="1:21" x14ac:dyDescent="0.25">
      <c r="A67" t="s">
        <v>1014</v>
      </c>
      <c r="B67" t="s">
        <v>717</v>
      </c>
      <c r="C67" t="s">
        <v>231</v>
      </c>
      <c r="F67" s="57" t="s">
        <v>1015</v>
      </c>
      <c r="G67" s="57" t="s">
        <v>232</v>
      </c>
      <c r="H67" s="57" t="s">
        <v>768</v>
      </c>
      <c r="I67" s="57" t="s">
        <v>768</v>
      </c>
      <c r="J67" s="57" t="s">
        <v>11</v>
      </c>
      <c r="K67" t="s">
        <v>382</v>
      </c>
      <c r="M67" t="s">
        <v>720</v>
      </c>
      <c r="N67" s="58">
        <v>45808</v>
      </c>
      <c r="O67" s="58"/>
      <c r="P67" s="58"/>
      <c r="Q67" s="59" t="str">
        <f ca="1">IF(Register[[#This Row],[Last Verified]]="","",TODAY()-Register[[#This Row],[Last Verified]])</f>
        <v/>
      </c>
      <c r="R6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7" t="s">
        <v>1016</v>
      </c>
    </row>
    <row r="68" spans="1:21" x14ac:dyDescent="0.25">
      <c r="A68" t="s">
        <v>1017</v>
      </c>
      <c r="B68" t="s">
        <v>717</v>
      </c>
      <c r="C68" t="s">
        <v>219</v>
      </c>
      <c r="F68" s="57" t="s">
        <v>1018</v>
      </c>
      <c r="G68" s="57" t="s">
        <v>221</v>
      </c>
      <c r="H68" s="57" t="s">
        <v>768</v>
      </c>
      <c r="I68" s="57" t="s">
        <v>768</v>
      </c>
      <c r="J68" s="57" t="s">
        <v>1019</v>
      </c>
      <c r="K68" t="s">
        <v>727</v>
      </c>
      <c r="L68" t="s">
        <v>709</v>
      </c>
      <c r="M68" t="s">
        <v>720</v>
      </c>
      <c r="N68" s="58"/>
      <c r="O68" s="58"/>
      <c r="P68" s="58"/>
      <c r="Q68" s="59" t="str">
        <f ca="1">IF(Register[[#This Row],[Last Verified]]="","",TODAY()-Register[[#This Row],[Last Verified]])</f>
        <v/>
      </c>
      <c r="R6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68" t="s">
        <v>223</v>
      </c>
      <c r="U68" t="s">
        <v>1020</v>
      </c>
    </row>
    <row r="69" spans="1:21" x14ac:dyDescent="0.25">
      <c r="A69" t="s">
        <v>1021</v>
      </c>
      <c r="B69" t="s">
        <v>717</v>
      </c>
      <c r="C69" t="s">
        <v>179</v>
      </c>
      <c r="F69" s="57" t="s">
        <v>1022</v>
      </c>
      <c r="G69" s="57" t="s">
        <v>181</v>
      </c>
      <c r="H69" s="57" t="s">
        <v>768</v>
      </c>
      <c r="I69" s="57" t="s">
        <v>768</v>
      </c>
      <c r="J69" s="57" t="s">
        <v>1023</v>
      </c>
      <c r="K69" t="s">
        <v>520</v>
      </c>
      <c r="L69" t="s">
        <v>991</v>
      </c>
      <c r="M69" t="s">
        <v>720</v>
      </c>
      <c r="N69" s="58"/>
      <c r="O69" s="58"/>
      <c r="P69" s="58"/>
      <c r="Q69" s="59" t="str">
        <f ca="1">IF(Register[[#This Row],[Last Verified]]="","",TODAY()-Register[[#This Row],[Last Verified]])</f>
        <v/>
      </c>
      <c r="R6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69" t="s">
        <v>1024</v>
      </c>
    </row>
    <row r="70" spans="1:21" x14ac:dyDescent="0.25">
      <c r="A70" t="s">
        <v>1025</v>
      </c>
      <c r="B70" t="s">
        <v>717</v>
      </c>
      <c r="C70" t="s">
        <v>182</v>
      </c>
      <c r="F70" s="57" t="s">
        <v>1026</v>
      </c>
      <c r="G70" s="57" t="s">
        <v>184</v>
      </c>
      <c r="H70" s="57" t="s">
        <v>768</v>
      </c>
      <c r="I70" s="57" t="s">
        <v>768</v>
      </c>
      <c r="J70" s="57" t="s">
        <v>1027</v>
      </c>
      <c r="K70" t="s">
        <v>520</v>
      </c>
      <c r="L70" t="s">
        <v>991</v>
      </c>
      <c r="M70" t="s">
        <v>720</v>
      </c>
      <c r="N70" s="58"/>
      <c r="O70" s="58"/>
      <c r="P70" s="58"/>
      <c r="Q70" s="59" t="str">
        <f ca="1">IF(Register[[#This Row],[Last Verified]]="","",TODAY()-Register[[#This Row],[Last Verified]])</f>
        <v/>
      </c>
      <c r="R7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70" t="s">
        <v>1028</v>
      </c>
    </row>
    <row r="71" spans="1:21" x14ac:dyDescent="0.25">
      <c r="A71" t="s">
        <v>1029</v>
      </c>
      <c r="B71" t="s">
        <v>718</v>
      </c>
      <c r="C71" t="s">
        <v>693</v>
      </c>
      <c r="F71" s="57" t="s">
        <v>768</v>
      </c>
      <c r="G71" s="57" t="s">
        <v>768</v>
      </c>
      <c r="H71" s="57" t="s">
        <v>768</v>
      </c>
      <c r="I71" s="57" t="s">
        <v>768</v>
      </c>
      <c r="J71" s="57" t="s">
        <v>768</v>
      </c>
      <c r="L71" t="s">
        <v>624</v>
      </c>
      <c r="M71" t="s">
        <v>720</v>
      </c>
      <c r="N71" s="58"/>
      <c r="O71" s="58"/>
      <c r="P71" s="58"/>
      <c r="Q71" s="59" t="str">
        <f ca="1">IF(Register[[#This Row],[Last Verified]]="","",TODAY()-Register[[#This Row],[Last Verified]])</f>
        <v/>
      </c>
      <c r="R7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1" t="s">
        <v>1030</v>
      </c>
    </row>
    <row r="72" spans="1:21" x14ac:dyDescent="0.25">
      <c r="A72" t="s">
        <v>1031</v>
      </c>
      <c r="B72" t="s">
        <v>718</v>
      </c>
      <c r="C72" t="s">
        <v>692</v>
      </c>
      <c r="F72" s="57" t="s">
        <v>768</v>
      </c>
      <c r="G72" s="57" t="s">
        <v>768</v>
      </c>
      <c r="H72" s="57" t="s">
        <v>768</v>
      </c>
      <c r="I72" s="57" t="s">
        <v>768</v>
      </c>
      <c r="J72" s="57" t="s">
        <v>768</v>
      </c>
      <c r="L72" t="s">
        <v>628</v>
      </c>
      <c r="M72" t="s">
        <v>720</v>
      </c>
      <c r="N72" s="58"/>
      <c r="O72" s="58"/>
      <c r="P72" s="58"/>
      <c r="Q72" s="59" t="str">
        <f ca="1">IF(Register[[#This Row],[Last Verified]]="","",TODAY()-Register[[#This Row],[Last Verified]])</f>
        <v/>
      </c>
      <c r="R7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72" t="s">
        <v>1032</v>
      </c>
      <c r="U72" t="s">
        <v>1033</v>
      </c>
    </row>
    <row r="73" spans="1:21" x14ac:dyDescent="0.25">
      <c r="A73" t="s">
        <v>1034</v>
      </c>
      <c r="B73" t="s">
        <v>718</v>
      </c>
      <c r="C73" t="s">
        <v>691</v>
      </c>
      <c r="F73" s="57" t="s">
        <v>768</v>
      </c>
      <c r="G73" s="57" t="s">
        <v>768</v>
      </c>
      <c r="H73" s="57" t="s">
        <v>768</v>
      </c>
      <c r="I73" s="57" t="s">
        <v>768</v>
      </c>
      <c r="J73" s="57" t="s">
        <v>768</v>
      </c>
      <c r="L73" t="s">
        <v>629</v>
      </c>
      <c r="M73" t="s">
        <v>720</v>
      </c>
      <c r="N73" s="58"/>
      <c r="O73" s="58"/>
      <c r="P73" s="58"/>
      <c r="Q73" s="59" t="str">
        <f ca="1">IF(Register[[#This Row],[Last Verified]]="","",TODAY()-Register[[#This Row],[Last Verified]])</f>
        <v/>
      </c>
      <c r="R7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3" t="s">
        <v>1035</v>
      </c>
    </row>
    <row r="74" spans="1:21" x14ac:dyDescent="0.25">
      <c r="A74" t="s">
        <v>1036</v>
      </c>
      <c r="B74" t="s">
        <v>718</v>
      </c>
      <c r="C74" t="s">
        <v>690</v>
      </c>
      <c r="F74" s="57" t="s">
        <v>768</v>
      </c>
      <c r="G74" s="57" t="s">
        <v>768</v>
      </c>
      <c r="H74" s="57" t="s">
        <v>768</v>
      </c>
      <c r="I74" s="57" t="s">
        <v>768</v>
      </c>
      <c r="J74" s="57" t="s">
        <v>768</v>
      </c>
      <c r="M74" t="s">
        <v>724</v>
      </c>
      <c r="N74" s="58"/>
      <c r="O74" s="58"/>
      <c r="P74" s="58"/>
      <c r="Q74" s="59" t="str">
        <f ca="1">IF(Register[[#This Row],[Last Verified]]="","",TODAY()-Register[[#This Row],[Last Verified]])</f>
        <v/>
      </c>
      <c r="R7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74" t="s">
        <v>627</v>
      </c>
      <c r="U74" t="s">
        <v>1037</v>
      </c>
    </row>
    <row r="75" spans="1:21" x14ac:dyDescent="0.25">
      <c r="A75" t="s">
        <v>1038</v>
      </c>
      <c r="B75" t="s">
        <v>718</v>
      </c>
      <c r="C75" t="s">
        <v>694</v>
      </c>
      <c r="F75" s="57" t="s">
        <v>768</v>
      </c>
      <c r="G75" s="57" t="s">
        <v>768</v>
      </c>
      <c r="H75" s="57" t="s">
        <v>768</v>
      </c>
      <c r="I75" s="57" t="s">
        <v>768</v>
      </c>
      <c r="J75" s="57" t="s">
        <v>768</v>
      </c>
      <c r="L75" t="s">
        <v>631</v>
      </c>
      <c r="M75" t="s">
        <v>720</v>
      </c>
      <c r="N75" s="58"/>
      <c r="O75" s="58"/>
      <c r="P75" s="58"/>
      <c r="Q75" s="59" t="str">
        <f ca="1">IF(Register[[#This Row],[Last Verified]]="","",TODAY()-Register[[#This Row],[Last Verified]])</f>
        <v/>
      </c>
      <c r="R7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5" t="s">
        <v>1039</v>
      </c>
    </row>
    <row r="76" spans="1:21" x14ac:dyDescent="0.25">
      <c r="A76" t="s">
        <v>1040</v>
      </c>
      <c r="B76" t="s">
        <v>718</v>
      </c>
      <c r="C76" t="s">
        <v>695</v>
      </c>
      <c r="F76" s="57" t="s">
        <v>768</v>
      </c>
      <c r="G76" s="57" t="s">
        <v>768</v>
      </c>
      <c r="H76" s="57" t="s">
        <v>768</v>
      </c>
      <c r="I76" s="57" t="s">
        <v>768</v>
      </c>
      <c r="J76" s="57" t="s">
        <v>768</v>
      </c>
      <c r="L76" t="s">
        <v>631</v>
      </c>
      <c r="M76" t="s">
        <v>720</v>
      </c>
      <c r="N76" s="58"/>
      <c r="O76" s="58"/>
      <c r="P76" s="58"/>
      <c r="Q76" s="59" t="str">
        <f ca="1">IF(Register[[#This Row],[Last Verified]]="","",TODAY()-Register[[#This Row],[Last Verified]])</f>
        <v/>
      </c>
      <c r="R7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6" t="s">
        <v>1041</v>
      </c>
    </row>
    <row r="77" spans="1:21" x14ac:dyDescent="0.25">
      <c r="A77" t="s">
        <v>1042</v>
      </c>
      <c r="B77" t="s">
        <v>718</v>
      </c>
      <c r="C77" t="s">
        <v>696</v>
      </c>
      <c r="F77" s="57" t="s">
        <v>768</v>
      </c>
      <c r="G77" s="57" t="s">
        <v>768</v>
      </c>
      <c r="H77" s="57" t="s">
        <v>768</v>
      </c>
      <c r="I77" s="57" t="s">
        <v>768</v>
      </c>
      <c r="J77" s="57" t="s">
        <v>768</v>
      </c>
      <c r="L77" t="s">
        <v>632</v>
      </c>
      <c r="M77" t="s">
        <v>720</v>
      </c>
      <c r="N77" s="58"/>
      <c r="O77" s="58"/>
      <c r="P77" s="58"/>
      <c r="Q77" s="59" t="str">
        <f ca="1">IF(Register[[#This Row],[Last Verified]]="","",TODAY()-Register[[#This Row],[Last Verified]])</f>
        <v/>
      </c>
      <c r="R7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7" t="s">
        <v>1043</v>
      </c>
    </row>
    <row r="78" spans="1:21" x14ac:dyDescent="0.25">
      <c r="A78" t="s">
        <v>1044</v>
      </c>
      <c r="B78" t="s">
        <v>718</v>
      </c>
      <c r="C78" t="s">
        <v>697</v>
      </c>
      <c r="F78" s="57" t="s">
        <v>768</v>
      </c>
      <c r="G78" s="57" t="s">
        <v>768</v>
      </c>
      <c r="H78" s="57" t="s">
        <v>768</v>
      </c>
      <c r="I78" s="57" t="s">
        <v>768</v>
      </c>
      <c r="J78" s="57" t="s">
        <v>768</v>
      </c>
      <c r="L78" t="s">
        <v>1045</v>
      </c>
      <c r="M78" t="s">
        <v>720</v>
      </c>
      <c r="N78" s="58"/>
      <c r="O78" s="58"/>
      <c r="P78" s="58"/>
      <c r="Q78" s="59" t="str">
        <f ca="1">IF(Register[[#This Row],[Last Verified]]="","",TODAY()-Register[[#This Row],[Last Verified]])</f>
        <v/>
      </c>
      <c r="R7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8" t="s">
        <v>1046</v>
      </c>
    </row>
    <row r="79" spans="1:21" x14ac:dyDescent="0.25">
      <c r="A79" t="s">
        <v>1047</v>
      </c>
      <c r="B79" t="s">
        <v>718</v>
      </c>
      <c r="C79" t="s">
        <v>698</v>
      </c>
      <c r="F79" s="57" t="s">
        <v>768</v>
      </c>
      <c r="G79" s="57" t="s">
        <v>768</v>
      </c>
      <c r="H79" s="57" t="s">
        <v>768</v>
      </c>
      <c r="I79" s="57" t="s">
        <v>768</v>
      </c>
      <c r="J79" s="57" t="s">
        <v>768</v>
      </c>
      <c r="L79" t="s">
        <v>634</v>
      </c>
      <c r="M79" t="s">
        <v>720</v>
      </c>
      <c r="N79" s="58"/>
      <c r="O79" s="58"/>
      <c r="P79" s="58"/>
      <c r="Q79" s="59" t="str">
        <f ca="1">IF(Register[[#This Row],[Last Verified]]="","",TODAY()-Register[[#This Row],[Last Verified]])</f>
        <v/>
      </c>
      <c r="R7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79" t="s">
        <v>1048</v>
      </c>
    </row>
    <row r="80" spans="1:21" x14ac:dyDescent="0.25">
      <c r="A80" t="s">
        <v>1049</v>
      </c>
      <c r="B80" t="s">
        <v>718</v>
      </c>
      <c r="C80" t="s">
        <v>699</v>
      </c>
      <c r="F80" s="57" t="s">
        <v>768</v>
      </c>
      <c r="G80" s="57" t="s">
        <v>768</v>
      </c>
      <c r="H80" s="57" t="s">
        <v>768</v>
      </c>
      <c r="I80" s="57" t="s">
        <v>768</v>
      </c>
      <c r="J80" s="57" t="s">
        <v>768</v>
      </c>
      <c r="L80" t="s">
        <v>635</v>
      </c>
      <c r="M80" t="s">
        <v>720</v>
      </c>
      <c r="N80" s="58"/>
      <c r="O80" s="58"/>
      <c r="P80" s="58"/>
      <c r="Q80" s="59" t="str">
        <f ca="1">IF(Register[[#This Row],[Last Verified]]="","",TODAY()-Register[[#This Row],[Last Verified]])</f>
        <v/>
      </c>
      <c r="R8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Duplicate name, No location, Verify due</v>
      </c>
      <c r="T80" t="s">
        <v>1032</v>
      </c>
      <c r="U80" t="s">
        <v>1050</v>
      </c>
    </row>
    <row r="81" spans="1:21" x14ac:dyDescent="0.25">
      <c r="A81" t="s">
        <v>1051</v>
      </c>
      <c r="B81" t="s">
        <v>718</v>
      </c>
      <c r="C81" t="s">
        <v>699</v>
      </c>
      <c r="F81" s="57" t="s">
        <v>768</v>
      </c>
      <c r="G81" s="57" t="s">
        <v>768</v>
      </c>
      <c r="H81" s="57" t="s">
        <v>768</v>
      </c>
      <c r="I81" s="57" t="s">
        <v>768</v>
      </c>
      <c r="J81" s="57" t="s">
        <v>768</v>
      </c>
      <c r="L81" t="s">
        <v>636</v>
      </c>
      <c r="M81" t="s">
        <v>720</v>
      </c>
      <c r="N81" s="58"/>
      <c r="O81" s="58"/>
      <c r="P81" s="58"/>
      <c r="Q81" s="59" t="str">
        <f ca="1">IF(Register[[#This Row],[Last Verified]]="","",TODAY()-Register[[#This Row],[Last Verified]])</f>
        <v/>
      </c>
      <c r="R8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Duplicate name, No location, Verify due</v>
      </c>
      <c r="U81" t="s">
        <v>1052</v>
      </c>
    </row>
    <row r="82" spans="1:21" x14ac:dyDescent="0.25">
      <c r="A82" t="s">
        <v>1053</v>
      </c>
      <c r="B82" t="s">
        <v>718</v>
      </c>
      <c r="C82" t="s">
        <v>700</v>
      </c>
      <c r="F82" s="57" t="s">
        <v>768</v>
      </c>
      <c r="G82" s="57" t="s">
        <v>768</v>
      </c>
      <c r="H82" s="57" t="s">
        <v>768</v>
      </c>
      <c r="I82" s="57" t="s">
        <v>768</v>
      </c>
      <c r="J82" s="57" t="s">
        <v>768</v>
      </c>
      <c r="L82" t="s">
        <v>637</v>
      </c>
      <c r="M82" t="s">
        <v>720</v>
      </c>
      <c r="N82" s="58"/>
      <c r="O82" s="58"/>
      <c r="P82" s="58"/>
      <c r="Q82" s="59" t="str">
        <f ca="1">IF(Register[[#This Row],[Last Verified]]="","",TODAY()-Register[[#This Row],[Last Verified]])</f>
        <v/>
      </c>
      <c r="R8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2" t="s">
        <v>1054</v>
      </c>
    </row>
    <row r="83" spans="1:21" x14ac:dyDescent="0.25">
      <c r="A83" t="s">
        <v>1055</v>
      </c>
      <c r="B83" t="s">
        <v>718</v>
      </c>
      <c r="C83" t="s">
        <v>701</v>
      </c>
      <c r="F83" s="57" t="s">
        <v>768</v>
      </c>
      <c r="G83" s="57" t="s">
        <v>768</v>
      </c>
      <c r="H83" s="57" t="s">
        <v>768</v>
      </c>
      <c r="I83" s="57" t="s">
        <v>768</v>
      </c>
      <c r="J83" s="57" t="s">
        <v>768</v>
      </c>
      <c r="L83" t="s">
        <v>638</v>
      </c>
      <c r="M83" t="s">
        <v>720</v>
      </c>
      <c r="N83" s="58"/>
      <c r="O83" s="58"/>
      <c r="P83" s="58"/>
      <c r="Q83" s="59" t="str">
        <f ca="1">IF(Register[[#This Row],[Last Verified]]="","",TODAY()-Register[[#This Row],[Last Verified]])</f>
        <v/>
      </c>
      <c r="R8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83" t="s">
        <v>1032</v>
      </c>
      <c r="U83" t="s">
        <v>1056</v>
      </c>
    </row>
    <row r="84" spans="1:21" x14ac:dyDescent="0.25">
      <c r="A84" t="s">
        <v>1057</v>
      </c>
      <c r="B84" t="s">
        <v>718</v>
      </c>
      <c r="C84" t="s">
        <v>702</v>
      </c>
      <c r="F84" s="57" t="s">
        <v>768</v>
      </c>
      <c r="G84" s="57" t="s">
        <v>768</v>
      </c>
      <c r="H84" s="57" t="s">
        <v>768</v>
      </c>
      <c r="I84" s="57" t="s">
        <v>768</v>
      </c>
      <c r="J84" s="57" t="s">
        <v>768</v>
      </c>
      <c r="L84" t="s">
        <v>639</v>
      </c>
      <c r="M84" t="s">
        <v>720</v>
      </c>
      <c r="N84" s="58"/>
      <c r="O84" s="58"/>
      <c r="P84" s="58"/>
      <c r="Q84" s="59" t="str">
        <f ca="1">IF(Register[[#This Row],[Last Verified]]="","",TODAY()-Register[[#This Row],[Last Verified]])</f>
        <v/>
      </c>
      <c r="R8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4" t="s">
        <v>1058</v>
      </c>
    </row>
    <row r="85" spans="1:21" x14ac:dyDescent="0.25">
      <c r="A85" t="s">
        <v>1059</v>
      </c>
      <c r="B85" t="s">
        <v>718</v>
      </c>
      <c r="C85" t="s">
        <v>703</v>
      </c>
      <c r="F85" s="57" t="s">
        <v>768</v>
      </c>
      <c r="G85" s="57" t="s">
        <v>768</v>
      </c>
      <c r="H85" s="57" t="s">
        <v>768</v>
      </c>
      <c r="I85" s="57" t="s">
        <v>768</v>
      </c>
      <c r="J85" s="57" t="s">
        <v>768</v>
      </c>
      <c r="L85" t="s">
        <v>625</v>
      </c>
      <c r="M85" t="s">
        <v>720</v>
      </c>
      <c r="N85" s="58"/>
      <c r="O85" s="58"/>
      <c r="P85" s="58"/>
      <c r="Q85" s="59" t="str">
        <f ca="1">IF(Register[[#This Row],[Last Verified]]="","",TODAY()-Register[[#This Row],[Last Verified]])</f>
        <v/>
      </c>
      <c r="R8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5" t="s">
        <v>1060</v>
      </c>
    </row>
    <row r="86" spans="1:21" x14ac:dyDescent="0.25">
      <c r="A86" t="s">
        <v>1061</v>
      </c>
      <c r="B86" t="s">
        <v>718</v>
      </c>
      <c r="C86" t="s">
        <v>704</v>
      </c>
      <c r="F86" s="57" t="s">
        <v>768</v>
      </c>
      <c r="G86" s="57" t="s">
        <v>768</v>
      </c>
      <c r="H86" s="57" t="s">
        <v>768</v>
      </c>
      <c r="I86" s="57" t="s">
        <v>768</v>
      </c>
      <c r="J86" s="57" t="s">
        <v>768</v>
      </c>
      <c r="L86" t="s">
        <v>621</v>
      </c>
      <c r="M86" t="s">
        <v>720</v>
      </c>
      <c r="N86" s="58"/>
      <c r="O86" s="58"/>
      <c r="P86" s="58"/>
      <c r="Q86" s="59" t="str">
        <f ca="1">IF(Register[[#This Row],[Last Verified]]="","",TODAY()-Register[[#This Row],[Last Verified]])</f>
        <v/>
      </c>
      <c r="R8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6" t="s">
        <v>1062</v>
      </c>
    </row>
    <row r="87" spans="1:21" x14ac:dyDescent="0.25">
      <c r="A87" t="s">
        <v>1063</v>
      </c>
      <c r="B87" t="s">
        <v>718</v>
      </c>
      <c r="C87" t="s">
        <v>705</v>
      </c>
      <c r="F87" s="57" t="s">
        <v>768</v>
      </c>
      <c r="G87" s="57" t="s">
        <v>768</v>
      </c>
      <c r="H87" s="57" t="s">
        <v>768</v>
      </c>
      <c r="I87" s="57" t="s">
        <v>768</v>
      </c>
      <c r="J87" s="57" t="s">
        <v>768</v>
      </c>
      <c r="L87" t="s">
        <v>622</v>
      </c>
      <c r="M87" t="s">
        <v>720</v>
      </c>
      <c r="N87" s="58"/>
      <c r="O87" s="58"/>
      <c r="P87" s="58"/>
      <c r="Q87" s="59" t="str">
        <f ca="1">IF(Register[[#This Row],[Last Verified]]="","",TODAY()-Register[[#This Row],[Last Verified]])</f>
        <v/>
      </c>
      <c r="R8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7" t="s">
        <v>1064</v>
      </c>
    </row>
    <row r="88" spans="1:21" x14ac:dyDescent="0.25">
      <c r="A88" t="s">
        <v>1065</v>
      </c>
      <c r="B88" t="s">
        <v>718</v>
      </c>
      <c r="C88" t="s">
        <v>706</v>
      </c>
      <c r="F88" s="57" t="s">
        <v>768</v>
      </c>
      <c r="G88" s="57" t="s">
        <v>768</v>
      </c>
      <c r="H88" s="57" t="s">
        <v>768</v>
      </c>
      <c r="I88" s="57" t="s">
        <v>768</v>
      </c>
      <c r="J88" s="57" t="s">
        <v>768</v>
      </c>
      <c r="L88" t="s">
        <v>623</v>
      </c>
      <c r="M88" t="s">
        <v>720</v>
      </c>
      <c r="N88" s="58"/>
      <c r="O88" s="58"/>
      <c r="P88" s="58"/>
      <c r="Q88" s="59" t="str">
        <f ca="1">IF(Register[[#This Row],[Last Verified]]="","",TODAY()-Register[[#This Row],[Last Verified]])</f>
        <v/>
      </c>
      <c r="R8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8" t="s">
        <v>1066</v>
      </c>
    </row>
    <row r="89" spans="1:21" x14ac:dyDescent="0.25">
      <c r="A89" t="s">
        <v>1067</v>
      </c>
      <c r="B89" t="s">
        <v>718</v>
      </c>
      <c r="C89" t="s">
        <v>707</v>
      </c>
      <c r="F89" s="57" t="s">
        <v>768</v>
      </c>
      <c r="G89" s="57" t="s">
        <v>768</v>
      </c>
      <c r="H89" s="57" t="s">
        <v>768</v>
      </c>
      <c r="I89" s="57" t="s">
        <v>768</v>
      </c>
      <c r="J89" s="57" t="s">
        <v>768</v>
      </c>
      <c r="L89" t="s">
        <v>626</v>
      </c>
      <c r="M89" t="s">
        <v>720</v>
      </c>
      <c r="N89" s="58"/>
      <c r="O89" s="58"/>
      <c r="P89" s="58"/>
      <c r="Q89" s="59" t="str">
        <f ca="1">IF(Register[[#This Row],[Last Verified]]="","",TODAY()-Register[[#This Row],[Last Verified]])</f>
        <v/>
      </c>
      <c r="R8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89" t="s">
        <v>1068</v>
      </c>
    </row>
    <row r="90" spans="1:21" x14ac:dyDescent="0.25">
      <c r="A90" t="s">
        <v>1069</v>
      </c>
      <c r="B90" t="s">
        <v>718</v>
      </c>
      <c r="C90" t="s">
        <v>642</v>
      </c>
      <c r="F90" s="57" t="s">
        <v>768</v>
      </c>
      <c r="G90" s="57" t="s">
        <v>768</v>
      </c>
      <c r="H90" s="57" t="s">
        <v>768</v>
      </c>
      <c r="I90" s="57" t="s">
        <v>768</v>
      </c>
      <c r="J90" s="57" t="s">
        <v>768</v>
      </c>
      <c r="L90" t="s">
        <v>684</v>
      </c>
      <c r="M90" t="s">
        <v>720</v>
      </c>
      <c r="N90" s="58"/>
      <c r="O90" s="58"/>
      <c r="P90" s="58"/>
      <c r="Q90" s="59" t="str">
        <f ca="1">IF(Register[[#This Row],[Last Verified]]="","",TODAY()-Register[[#This Row],[Last Verified]])</f>
        <v/>
      </c>
      <c r="R9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0" t="s">
        <v>1070</v>
      </c>
    </row>
    <row r="91" spans="1:21" x14ac:dyDescent="0.25">
      <c r="A91" t="s">
        <v>1071</v>
      </c>
      <c r="B91" t="s">
        <v>718</v>
      </c>
      <c r="C91" t="s">
        <v>643</v>
      </c>
      <c r="F91" s="57" t="s">
        <v>768</v>
      </c>
      <c r="G91" s="57" t="s">
        <v>768</v>
      </c>
      <c r="H91" s="57" t="s">
        <v>768</v>
      </c>
      <c r="I91" s="57" t="s">
        <v>768</v>
      </c>
      <c r="J91" s="57" t="s">
        <v>768</v>
      </c>
      <c r="L91" t="s">
        <v>684</v>
      </c>
      <c r="M91" t="s">
        <v>720</v>
      </c>
      <c r="N91" s="58"/>
      <c r="O91" s="58"/>
      <c r="P91" s="58"/>
      <c r="Q91" s="59" t="str">
        <f ca="1">IF(Register[[#This Row],[Last Verified]]="","",TODAY()-Register[[#This Row],[Last Verified]])</f>
        <v/>
      </c>
      <c r="R9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1" t="s">
        <v>1072</v>
      </c>
    </row>
    <row r="92" spans="1:21" x14ac:dyDescent="0.25">
      <c r="A92" t="s">
        <v>1073</v>
      </c>
      <c r="B92" t="s">
        <v>718</v>
      </c>
      <c r="C92" t="s">
        <v>644</v>
      </c>
      <c r="F92" s="57" t="s">
        <v>768</v>
      </c>
      <c r="G92" s="57" t="s">
        <v>768</v>
      </c>
      <c r="H92" s="57" t="s">
        <v>768</v>
      </c>
      <c r="I92" s="57" t="s">
        <v>768</v>
      </c>
      <c r="J92" s="57" t="s">
        <v>768</v>
      </c>
      <c r="M92" t="s">
        <v>723</v>
      </c>
      <c r="N92" s="58"/>
      <c r="O92" s="58"/>
      <c r="P92" s="58"/>
      <c r="Q92" s="59" t="str">
        <f ca="1">IF(Register[[#This Row],[Last Verified]]="","",TODAY()-Register[[#This Row],[Last Verified]])</f>
        <v/>
      </c>
      <c r="R9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2" t="s">
        <v>1074</v>
      </c>
    </row>
    <row r="93" spans="1:21" x14ac:dyDescent="0.25">
      <c r="A93" t="s">
        <v>1075</v>
      </c>
      <c r="B93" t="s">
        <v>718</v>
      </c>
      <c r="C93" t="s">
        <v>645</v>
      </c>
      <c r="F93" s="57" t="s">
        <v>768</v>
      </c>
      <c r="G93" s="57" t="s">
        <v>768</v>
      </c>
      <c r="H93" s="57" t="s">
        <v>768</v>
      </c>
      <c r="I93" s="57" t="s">
        <v>768</v>
      </c>
      <c r="J93" s="57" t="s">
        <v>768</v>
      </c>
      <c r="L93" t="s">
        <v>687</v>
      </c>
      <c r="M93" t="s">
        <v>720</v>
      </c>
      <c r="N93" s="58"/>
      <c r="O93" s="58"/>
      <c r="P93" s="58"/>
      <c r="Q93" s="59" t="str">
        <f ca="1">IF(Register[[#This Row],[Last Verified]]="","",TODAY()-Register[[#This Row],[Last Verified]])</f>
        <v/>
      </c>
      <c r="R9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3" t="s">
        <v>1076</v>
      </c>
    </row>
    <row r="94" spans="1:21" x14ac:dyDescent="0.25">
      <c r="A94" t="s">
        <v>1077</v>
      </c>
      <c r="B94" t="s">
        <v>718</v>
      </c>
      <c r="C94" t="s">
        <v>646</v>
      </c>
      <c r="F94" s="57" t="s">
        <v>768</v>
      </c>
      <c r="G94" s="57" t="s">
        <v>768</v>
      </c>
      <c r="H94" s="57" t="s">
        <v>768</v>
      </c>
      <c r="I94" s="57" t="s">
        <v>768</v>
      </c>
      <c r="J94" s="57" t="s">
        <v>768</v>
      </c>
      <c r="L94" t="s">
        <v>683</v>
      </c>
      <c r="M94" t="s">
        <v>720</v>
      </c>
      <c r="N94" s="58"/>
      <c r="O94" s="58"/>
      <c r="P94" s="58"/>
      <c r="Q94" s="59" t="str">
        <f ca="1">IF(Register[[#This Row],[Last Verified]]="","",TODAY()-Register[[#This Row],[Last Verified]])</f>
        <v/>
      </c>
      <c r="R9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4" t="s">
        <v>1078</v>
      </c>
    </row>
    <row r="95" spans="1:21" x14ac:dyDescent="0.25">
      <c r="A95" t="s">
        <v>1079</v>
      </c>
      <c r="B95" t="s">
        <v>718</v>
      </c>
      <c r="C95" t="s">
        <v>647</v>
      </c>
      <c r="F95" s="57" t="s">
        <v>768</v>
      </c>
      <c r="G95" s="57" t="s">
        <v>768</v>
      </c>
      <c r="H95" s="57" t="s">
        <v>768</v>
      </c>
      <c r="I95" s="57" t="s">
        <v>768</v>
      </c>
      <c r="J95" s="57" t="s">
        <v>768</v>
      </c>
      <c r="L95" t="s">
        <v>688</v>
      </c>
      <c r="M95" t="s">
        <v>720</v>
      </c>
      <c r="N95" s="58"/>
      <c r="O95" s="58"/>
      <c r="P95" s="58"/>
      <c r="Q95" s="59" t="str">
        <f ca="1">IF(Register[[#This Row],[Last Verified]]="","",TODAY()-Register[[#This Row],[Last Verified]])</f>
        <v/>
      </c>
      <c r="R9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5" t="s">
        <v>1080</v>
      </c>
    </row>
    <row r="96" spans="1:21" x14ac:dyDescent="0.25">
      <c r="A96" t="s">
        <v>1081</v>
      </c>
      <c r="B96" t="s">
        <v>718</v>
      </c>
      <c r="C96" t="s">
        <v>648</v>
      </c>
      <c r="F96" s="57" t="s">
        <v>768</v>
      </c>
      <c r="G96" s="57" t="s">
        <v>768</v>
      </c>
      <c r="H96" s="57" t="s">
        <v>768</v>
      </c>
      <c r="I96" s="57" t="s">
        <v>768</v>
      </c>
      <c r="J96" s="57" t="s">
        <v>768</v>
      </c>
      <c r="M96" t="s">
        <v>723</v>
      </c>
      <c r="N96" s="58"/>
      <c r="O96" s="58"/>
      <c r="P96" s="58"/>
      <c r="Q96" s="59" t="str">
        <f ca="1">IF(Register[[#This Row],[Last Verified]]="","",TODAY()-Register[[#This Row],[Last Verified]])</f>
        <v/>
      </c>
      <c r="R9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6" t="s">
        <v>1082</v>
      </c>
    </row>
    <row r="97" spans="1:21" x14ac:dyDescent="0.25">
      <c r="A97" t="s">
        <v>1083</v>
      </c>
      <c r="B97" t="s">
        <v>718</v>
      </c>
      <c r="C97" t="s">
        <v>649</v>
      </c>
      <c r="F97" s="57" t="s">
        <v>768</v>
      </c>
      <c r="G97" s="57" t="s">
        <v>768</v>
      </c>
      <c r="H97" s="57" t="s">
        <v>768</v>
      </c>
      <c r="I97" s="57" t="s">
        <v>768</v>
      </c>
      <c r="J97" s="57" t="s">
        <v>768</v>
      </c>
      <c r="L97" t="s">
        <v>689</v>
      </c>
      <c r="M97" t="s">
        <v>720</v>
      </c>
      <c r="N97" s="58"/>
      <c r="O97" s="58"/>
      <c r="P97" s="58"/>
      <c r="Q97" s="59" t="str">
        <f ca="1">IF(Register[[#This Row],[Last Verified]]="","",TODAY()-Register[[#This Row],[Last Verified]])</f>
        <v/>
      </c>
      <c r="R9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7" t="s">
        <v>1084</v>
      </c>
    </row>
    <row r="98" spans="1:21" x14ac:dyDescent="0.25">
      <c r="A98" t="s">
        <v>1085</v>
      </c>
      <c r="B98" t="s">
        <v>718</v>
      </c>
      <c r="C98" t="s">
        <v>650</v>
      </c>
      <c r="F98" s="57" t="s">
        <v>768</v>
      </c>
      <c r="G98" s="57" t="s">
        <v>768</v>
      </c>
      <c r="H98" s="57" t="s">
        <v>768</v>
      </c>
      <c r="I98" s="57" t="s">
        <v>768</v>
      </c>
      <c r="J98" s="57" t="s">
        <v>768</v>
      </c>
      <c r="L98" t="s">
        <v>685</v>
      </c>
      <c r="M98" t="s">
        <v>720</v>
      </c>
      <c r="N98" s="58"/>
      <c r="O98" s="58"/>
      <c r="P98" s="58"/>
      <c r="Q98" s="59" t="str">
        <f ca="1">IF(Register[[#This Row],[Last Verified]]="","",TODAY()-Register[[#This Row],[Last Verified]])</f>
        <v/>
      </c>
      <c r="R9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8" t="s">
        <v>1086</v>
      </c>
    </row>
    <row r="99" spans="1:21" x14ac:dyDescent="0.25">
      <c r="A99" t="s">
        <v>1087</v>
      </c>
      <c r="B99" t="s">
        <v>718</v>
      </c>
      <c r="C99" t="s">
        <v>651</v>
      </c>
      <c r="F99" s="57" t="s">
        <v>768</v>
      </c>
      <c r="G99" s="57" t="s">
        <v>768</v>
      </c>
      <c r="H99" s="57" t="s">
        <v>768</v>
      </c>
      <c r="I99" s="57" t="s">
        <v>768</v>
      </c>
      <c r="J99" s="57" t="s">
        <v>768</v>
      </c>
      <c r="L99" t="s">
        <v>686</v>
      </c>
      <c r="M99" t="s">
        <v>720</v>
      </c>
      <c r="N99" s="58"/>
      <c r="O99" s="58"/>
      <c r="P99" s="58"/>
      <c r="Q99" s="59" t="str">
        <f ca="1">IF(Register[[#This Row],[Last Verified]]="","",TODAY()-Register[[#This Row],[Last Verified]])</f>
        <v/>
      </c>
      <c r="R9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99" t="s">
        <v>1088</v>
      </c>
    </row>
    <row r="100" spans="1:21" x14ac:dyDescent="0.25">
      <c r="A100" t="s">
        <v>1089</v>
      </c>
      <c r="B100" t="s">
        <v>718</v>
      </c>
      <c r="C100" t="s">
        <v>652</v>
      </c>
      <c r="F100" s="57" t="s">
        <v>768</v>
      </c>
      <c r="G100" s="57" t="s">
        <v>768</v>
      </c>
      <c r="H100" s="57" t="s">
        <v>768</v>
      </c>
      <c r="I100" s="57" t="s">
        <v>768</v>
      </c>
      <c r="J100" s="57" t="s">
        <v>768</v>
      </c>
      <c r="L100" t="s">
        <v>671</v>
      </c>
      <c r="M100" t="s">
        <v>720</v>
      </c>
      <c r="N100" s="58"/>
      <c r="O100" s="58"/>
      <c r="P100" s="58"/>
      <c r="Q100" s="59" t="str">
        <f ca="1">IF(Register[[#This Row],[Last Verified]]="","",TODAY()-Register[[#This Row],[Last Verified]])</f>
        <v/>
      </c>
      <c r="R10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0" t="s">
        <v>1090</v>
      </c>
    </row>
    <row r="101" spans="1:21" x14ac:dyDescent="0.25">
      <c r="A101" t="s">
        <v>1091</v>
      </c>
      <c r="B101" t="s">
        <v>718</v>
      </c>
      <c r="C101" t="s">
        <v>653</v>
      </c>
      <c r="F101" s="57" t="s">
        <v>768</v>
      </c>
      <c r="G101" s="57" t="s">
        <v>768</v>
      </c>
      <c r="H101" s="57" t="s">
        <v>768</v>
      </c>
      <c r="I101" s="57" t="s">
        <v>768</v>
      </c>
      <c r="J101" s="57" t="s">
        <v>768</v>
      </c>
      <c r="L101" t="s">
        <v>671</v>
      </c>
      <c r="M101" t="s">
        <v>720</v>
      </c>
      <c r="N101" s="58"/>
      <c r="O101" s="58"/>
      <c r="P101" s="58"/>
      <c r="Q101" s="59" t="str">
        <f ca="1">IF(Register[[#This Row],[Last Verified]]="","",TODAY()-Register[[#This Row],[Last Verified]])</f>
        <v/>
      </c>
      <c r="R10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1" t="s">
        <v>1092</v>
      </c>
    </row>
    <row r="102" spans="1:21" x14ac:dyDescent="0.25">
      <c r="A102" t="s">
        <v>1093</v>
      </c>
      <c r="B102" t="s">
        <v>718</v>
      </c>
      <c r="C102" t="s">
        <v>654</v>
      </c>
      <c r="F102" s="57" t="s">
        <v>768</v>
      </c>
      <c r="G102" s="57" t="s">
        <v>768</v>
      </c>
      <c r="H102" s="57" t="s">
        <v>768</v>
      </c>
      <c r="I102" s="57" t="s">
        <v>768</v>
      </c>
      <c r="J102" s="57" t="s">
        <v>768</v>
      </c>
      <c r="L102" t="s">
        <v>671</v>
      </c>
      <c r="M102" t="s">
        <v>720</v>
      </c>
      <c r="N102" s="58"/>
      <c r="O102" s="58"/>
      <c r="P102" s="58"/>
      <c r="Q102" s="59" t="str">
        <f ca="1">IF(Register[[#This Row],[Last Verified]]="","",TODAY()-Register[[#This Row],[Last Verified]])</f>
        <v/>
      </c>
      <c r="R10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2" t="s">
        <v>1094</v>
      </c>
    </row>
    <row r="103" spans="1:21" x14ac:dyDescent="0.25">
      <c r="A103" t="s">
        <v>1095</v>
      </c>
      <c r="B103" t="s">
        <v>718</v>
      </c>
      <c r="C103" t="s">
        <v>655</v>
      </c>
      <c r="F103" s="57" t="s">
        <v>768</v>
      </c>
      <c r="G103" s="57" t="s">
        <v>768</v>
      </c>
      <c r="H103" s="57" t="s">
        <v>768</v>
      </c>
      <c r="I103" s="57" t="s">
        <v>768</v>
      </c>
      <c r="J103" s="57" t="s">
        <v>768</v>
      </c>
      <c r="L103" t="s">
        <v>671</v>
      </c>
      <c r="M103" t="s">
        <v>720</v>
      </c>
      <c r="N103" s="58"/>
      <c r="O103" s="58"/>
      <c r="P103" s="58"/>
      <c r="Q103" s="59" t="str">
        <f ca="1">IF(Register[[#This Row],[Last Verified]]="","",TODAY()-Register[[#This Row],[Last Verified]])</f>
        <v/>
      </c>
      <c r="R10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3" t="s">
        <v>1096</v>
      </c>
    </row>
    <row r="104" spans="1:21" x14ac:dyDescent="0.25">
      <c r="A104" t="s">
        <v>1097</v>
      </c>
      <c r="B104" t="s">
        <v>718</v>
      </c>
      <c r="C104" t="s">
        <v>656</v>
      </c>
      <c r="F104" s="57" t="s">
        <v>768</v>
      </c>
      <c r="G104" s="57" t="s">
        <v>768</v>
      </c>
      <c r="H104" s="57" t="s">
        <v>768</v>
      </c>
      <c r="I104" s="57" t="s">
        <v>768</v>
      </c>
      <c r="J104" s="57" t="s">
        <v>768</v>
      </c>
      <c r="L104" t="s">
        <v>671</v>
      </c>
      <c r="M104" t="s">
        <v>720</v>
      </c>
      <c r="N104" s="58"/>
      <c r="O104" s="58"/>
      <c r="P104" s="58"/>
      <c r="Q104" s="59" t="str">
        <f ca="1">IF(Register[[#This Row],[Last Verified]]="","",TODAY()-Register[[#This Row],[Last Verified]])</f>
        <v/>
      </c>
      <c r="R10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4" t="s">
        <v>1098</v>
      </c>
    </row>
    <row r="105" spans="1:21" x14ac:dyDescent="0.25">
      <c r="A105" t="s">
        <v>1099</v>
      </c>
      <c r="B105" t="s">
        <v>718</v>
      </c>
      <c r="C105" t="s">
        <v>657</v>
      </c>
      <c r="F105" s="57" t="s">
        <v>768</v>
      </c>
      <c r="G105" s="57" t="s">
        <v>768</v>
      </c>
      <c r="H105" s="57" t="s">
        <v>768</v>
      </c>
      <c r="I105" s="57" t="s">
        <v>768</v>
      </c>
      <c r="J105" s="57" t="s">
        <v>768</v>
      </c>
      <c r="L105" t="s">
        <v>672</v>
      </c>
      <c r="M105" t="s">
        <v>720</v>
      </c>
      <c r="N105" s="58"/>
      <c r="O105" s="58"/>
      <c r="P105" s="58"/>
      <c r="Q105" s="59" t="str">
        <f ca="1">IF(Register[[#This Row],[Last Verified]]="","",TODAY()-Register[[#This Row],[Last Verified]])</f>
        <v/>
      </c>
      <c r="R10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5" t="s">
        <v>1100</v>
      </c>
    </row>
    <row r="106" spans="1:21" x14ac:dyDescent="0.25">
      <c r="A106" t="s">
        <v>1101</v>
      </c>
      <c r="B106" t="s">
        <v>718</v>
      </c>
      <c r="C106" t="s">
        <v>658</v>
      </c>
      <c r="F106" s="57" t="s">
        <v>768</v>
      </c>
      <c r="G106" s="57" t="s">
        <v>768</v>
      </c>
      <c r="H106" s="57" t="s">
        <v>768</v>
      </c>
      <c r="I106" s="57" t="s">
        <v>768</v>
      </c>
      <c r="J106" s="57" t="s">
        <v>768</v>
      </c>
      <c r="L106" t="s">
        <v>671</v>
      </c>
      <c r="M106" t="s">
        <v>720</v>
      </c>
      <c r="N106" s="58"/>
      <c r="O106" s="58"/>
      <c r="P106" s="58"/>
      <c r="Q106" s="59" t="str">
        <f ca="1">IF(Register[[#This Row],[Last Verified]]="","",TODAY()-Register[[#This Row],[Last Verified]])</f>
        <v/>
      </c>
      <c r="R10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6" t="s">
        <v>1102</v>
      </c>
    </row>
    <row r="107" spans="1:21" x14ac:dyDescent="0.25">
      <c r="A107" t="s">
        <v>1103</v>
      </c>
      <c r="B107" t="s">
        <v>718</v>
      </c>
      <c r="C107" t="s">
        <v>659</v>
      </c>
      <c r="F107" s="57" t="s">
        <v>768</v>
      </c>
      <c r="G107" s="57" t="s">
        <v>768</v>
      </c>
      <c r="H107" s="57" t="s">
        <v>768</v>
      </c>
      <c r="I107" s="57" t="s">
        <v>768</v>
      </c>
      <c r="J107" s="57" t="s">
        <v>768</v>
      </c>
      <c r="L107" t="s">
        <v>460</v>
      </c>
      <c r="M107" t="s">
        <v>720</v>
      </c>
      <c r="N107" s="58"/>
      <c r="O107" s="58"/>
      <c r="P107" s="58"/>
      <c r="Q107" s="59" t="str">
        <f ca="1">IF(Register[[#This Row],[Last Verified]]="","",TODAY()-Register[[#This Row],[Last Verified]])</f>
        <v/>
      </c>
      <c r="R10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7" t="s">
        <v>1104</v>
      </c>
    </row>
    <row r="108" spans="1:21" x14ac:dyDescent="0.25">
      <c r="A108" t="s">
        <v>1105</v>
      </c>
      <c r="B108" t="s">
        <v>718</v>
      </c>
      <c r="C108" t="s">
        <v>660</v>
      </c>
      <c r="F108" s="57" t="s">
        <v>768</v>
      </c>
      <c r="G108" s="57" t="s">
        <v>768</v>
      </c>
      <c r="H108" s="57" t="s">
        <v>768</v>
      </c>
      <c r="I108" s="57" t="s">
        <v>768</v>
      </c>
      <c r="J108" s="57" t="s">
        <v>768</v>
      </c>
      <c r="L108" t="s">
        <v>682</v>
      </c>
      <c r="M108" t="s">
        <v>720</v>
      </c>
      <c r="N108" s="58"/>
      <c r="O108" s="58"/>
      <c r="P108" s="58"/>
      <c r="Q108" s="59" t="str">
        <f ca="1">IF(Register[[#This Row],[Last Verified]]="","",TODAY()-Register[[#This Row],[Last Verified]])</f>
        <v/>
      </c>
      <c r="R10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8" t="s">
        <v>1106</v>
      </c>
    </row>
    <row r="109" spans="1:21" x14ac:dyDescent="0.25">
      <c r="A109" t="s">
        <v>1107</v>
      </c>
      <c r="B109" t="s">
        <v>718</v>
      </c>
      <c r="C109" t="s">
        <v>661</v>
      </c>
      <c r="F109" s="57" t="s">
        <v>768</v>
      </c>
      <c r="G109" s="57" t="s">
        <v>768</v>
      </c>
      <c r="H109" s="57" t="s">
        <v>768</v>
      </c>
      <c r="I109" s="57" t="s">
        <v>768</v>
      </c>
      <c r="J109" s="57" t="s">
        <v>768</v>
      </c>
      <c r="L109" t="s">
        <v>672</v>
      </c>
      <c r="M109" t="s">
        <v>720</v>
      </c>
      <c r="N109" s="58"/>
      <c r="O109" s="58"/>
      <c r="P109" s="58"/>
      <c r="Q109" s="59" t="str">
        <f ca="1">IF(Register[[#This Row],[Last Verified]]="","",TODAY()-Register[[#This Row],[Last Verified]])</f>
        <v/>
      </c>
      <c r="R10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09" t="s">
        <v>1108</v>
      </c>
    </row>
    <row r="110" spans="1:21" x14ac:dyDescent="0.25">
      <c r="A110" t="s">
        <v>1109</v>
      </c>
      <c r="B110" t="s">
        <v>718</v>
      </c>
      <c r="C110" t="s">
        <v>662</v>
      </c>
      <c r="F110" s="57" t="s">
        <v>768</v>
      </c>
      <c r="G110" s="57" t="s">
        <v>768</v>
      </c>
      <c r="H110" s="57" t="s">
        <v>768</v>
      </c>
      <c r="I110" s="57" t="s">
        <v>768</v>
      </c>
      <c r="J110" s="57" t="s">
        <v>768</v>
      </c>
      <c r="L110" t="s">
        <v>672</v>
      </c>
      <c r="M110" t="s">
        <v>720</v>
      </c>
      <c r="N110" s="58"/>
      <c r="O110" s="58"/>
      <c r="P110" s="58"/>
      <c r="Q110" s="59" t="str">
        <f ca="1">IF(Register[[#This Row],[Last Verified]]="","",TODAY()-Register[[#This Row],[Last Verified]])</f>
        <v/>
      </c>
      <c r="R11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0" t="s">
        <v>1110</v>
      </c>
    </row>
    <row r="111" spans="1:21" x14ac:dyDescent="0.25">
      <c r="A111" t="s">
        <v>1111</v>
      </c>
      <c r="B111" t="s">
        <v>718</v>
      </c>
      <c r="C111" t="s">
        <v>663</v>
      </c>
      <c r="F111" s="57" t="s">
        <v>768</v>
      </c>
      <c r="G111" s="57" t="s">
        <v>768</v>
      </c>
      <c r="H111" s="57" t="s">
        <v>768</v>
      </c>
      <c r="I111" s="57" t="s">
        <v>768</v>
      </c>
      <c r="J111" s="57" t="s">
        <v>768</v>
      </c>
      <c r="L111" t="s">
        <v>673</v>
      </c>
      <c r="M111" t="s">
        <v>720</v>
      </c>
      <c r="N111" s="58"/>
      <c r="O111" s="58"/>
      <c r="P111" s="58"/>
      <c r="Q111" s="59" t="str">
        <f ca="1">IF(Register[[#This Row],[Last Verified]]="","",TODAY()-Register[[#This Row],[Last Verified]])</f>
        <v/>
      </c>
      <c r="R11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1" t="s">
        <v>1112</v>
      </c>
    </row>
    <row r="112" spans="1:21" x14ac:dyDescent="0.25">
      <c r="A112" t="s">
        <v>1113</v>
      </c>
      <c r="B112" t="s">
        <v>718</v>
      </c>
      <c r="C112" t="s">
        <v>664</v>
      </c>
      <c r="F112" s="57" t="s">
        <v>768</v>
      </c>
      <c r="G112" s="57" t="s">
        <v>768</v>
      </c>
      <c r="H112" s="57" t="s">
        <v>768</v>
      </c>
      <c r="I112" s="57" t="s">
        <v>768</v>
      </c>
      <c r="J112" s="57" t="s">
        <v>768</v>
      </c>
      <c r="L112" t="s">
        <v>674</v>
      </c>
      <c r="M112" t="s">
        <v>720</v>
      </c>
      <c r="N112" s="58"/>
      <c r="O112" s="58"/>
      <c r="P112" s="58"/>
      <c r="Q112" s="59" t="str">
        <f ca="1">IF(Register[[#This Row],[Last Verified]]="","",TODAY()-Register[[#This Row],[Last Verified]])</f>
        <v/>
      </c>
      <c r="R11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2" t="s">
        <v>1114</v>
      </c>
    </row>
    <row r="113" spans="1:21" x14ac:dyDescent="0.25">
      <c r="A113" t="s">
        <v>1115</v>
      </c>
      <c r="B113" t="s">
        <v>718</v>
      </c>
      <c r="C113" t="s">
        <v>665</v>
      </c>
      <c r="F113" s="57" t="s">
        <v>768</v>
      </c>
      <c r="G113" s="57" t="s">
        <v>768</v>
      </c>
      <c r="H113" s="57" t="s">
        <v>768</v>
      </c>
      <c r="I113" s="57" t="s">
        <v>768</v>
      </c>
      <c r="J113" s="57" t="s">
        <v>768</v>
      </c>
      <c r="L113" t="s">
        <v>675</v>
      </c>
      <c r="M113" t="s">
        <v>720</v>
      </c>
      <c r="N113" s="58"/>
      <c r="O113" s="58"/>
      <c r="P113" s="58"/>
      <c r="Q113" s="59" t="str">
        <f ca="1">IF(Register[[#This Row],[Last Verified]]="","",TODAY()-Register[[#This Row],[Last Verified]])</f>
        <v/>
      </c>
      <c r="R11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3" t="s">
        <v>1116</v>
      </c>
    </row>
    <row r="114" spans="1:21" x14ac:dyDescent="0.25">
      <c r="A114" t="s">
        <v>1117</v>
      </c>
      <c r="B114" t="s">
        <v>718</v>
      </c>
      <c r="C114" t="s">
        <v>666</v>
      </c>
      <c r="F114" s="57" t="s">
        <v>768</v>
      </c>
      <c r="G114" s="57" t="s">
        <v>768</v>
      </c>
      <c r="H114" s="57" t="s">
        <v>768</v>
      </c>
      <c r="I114" s="57" t="s">
        <v>768</v>
      </c>
      <c r="J114" s="57" t="s">
        <v>768</v>
      </c>
      <c r="L114" t="s">
        <v>676</v>
      </c>
      <c r="M114" t="s">
        <v>720</v>
      </c>
      <c r="N114" s="58"/>
      <c r="O114" s="58"/>
      <c r="P114" s="58"/>
      <c r="Q114" s="59" t="str">
        <f ca="1">IF(Register[[#This Row],[Last Verified]]="","",TODAY()-Register[[#This Row],[Last Verified]])</f>
        <v/>
      </c>
      <c r="R11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4" t="s">
        <v>1118</v>
      </c>
    </row>
    <row r="115" spans="1:21" x14ac:dyDescent="0.25">
      <c r="A115" t="s">
        <v>1119</v>
      </c>
      <c r="B115" t="s">
        <v>718</v>
      </c>
      <c r="C115" t="s">
        <v>667</v>
      </c>
      <c r="F115" s="57" t="s">
        <v>768</v>
      </c>
      <c r="G115" s="57" t="s">
        <v>768</v>
      </c>
      <c r="H115" s="57" t="s">
        <v>768</v>
      </c>
      <c r="I115" s="57" t="s">
        <v>768</v>
      </c>
      <c r="J115" s="57" t="s">
        <v>768</v>
      </c>
      <c r="L115" t="s">
        <v>677</v>
      </c>
      <c r="M115" t="s">
        <v>720</v>
      </c>
      <c r="N115" s="58"/>
      <c r="O115" s="58"/>
      <c r="P115" s="58"/>
      <c r="Q115" s="59" t="str">
        <f ca="1">IF(Register[[#This Row],[Last Verified]]="","",TODAY()-Register[[#This Row],[Last Verified]])</f>
        <v/>
      </c>
      <c r="R11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5" t="s">
        <v>1120</v>
      </c>
    </row>
    <row r="116" spans="1:21" x14ac:dyDescent="0.25">
      <c r="A116" t="s">
        <v>1121</v>
      </c>
      <c r="B116" t="s">
        <v>718</v>
      </c>
      <c r="C116" t="s">
        <v>668</v>
      </c>
      <c r="F116" s="57" t="s">
        <v>768</v>
      </c>
      <c r="G116" s="57" t="s">
        <v>768</v>
      </c>
      <c r="H116" s="57" t="s">
        <v>768</v>
      </c>
      <c r="I116" s="57" t="s">
        <v>768</v>
      </c>
      <c r="J116" s="57" t="s">
        <v>768</v>
      </c>
      <c r="L116" t="s">
        <v>678</v>
      </c>
      <c r="M116" t="s">
        <v>720</v>
      </c>
      <c r="N116" s="58"/>
      <c r="O116" s="58"/>
      <c r="P116" s="58"/>
      <c r="Q116" s="59" t="str">
        <f ca="1">IF(Register[[#This Row],[Last Verified]]="","",TODAY()-Register[[#This Row],[Last Verified]])</f>
        <v/>
      </c>
      <c r="R11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6" t="s">
        <v>1122</v>
      </c>
    </row>
    <row r="117" spans="1:21" x14ac:dyDescent="0.25">
      <c r="A117" t="s">
        <v>1123</v>
      </c>
      <c r="B117" t="s">
        <v>718</v>
      </c>
      <c r="C117" t="s">
        <v>669</v>
      </c>
      <c r="F117" s="57" t="s">
        <v>768</v>
      </c>
      <c r="G117" s="57" t="s">
        <v>768</v>
      </c>
      <c r="H117" s="57" t="s">
        <v>768</v>
      </c>
      <c r="I117" s="57" t="s">
        <v>768</v>
      </c>
      <c r="J117" s="57" t="s">
        <v>768</v>
      </c>
      <c r="L117" t="s">
        <v>678</v>
      </c>
      <c r="M117" t="s">
        <v>720</v>
      </c>
      <c r="N117" s="58"/>
      <c r="O117" s="58"/>
      <c r="P117" s="58"/>
      <c r="Q117" s="59" t="str">
        <f ca="1">IF(Register[[#This Row],[Last Verified]]="","",TODAY()-Register[[#This Row],[Last Verified]])</f>
        <v/>
      </c>
      <c r="R11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7" t="s">
        <v>1124</v>
      </c>
    </row>
    <row r="118" spans="1:21" x14ac:dyDescent="0.25">
      <c r="A118" t="s">
        <v>1125</v>
      </c>
      <c r="B118" t="s">
        <v>718</v>
      </c>
      <c r="C118" t="s">
        <v>670</v>
      </c>
      <c r="F118" s="57" t="s">
        <v>768</v>
      </c>
      <c r="G118" s="57" t="s">
        <v>768</v>
      </c>
      <c r="H118" s="57" t="s">
        <v>768</v>
      </c>
      <c r="I118" s="57" t="s">
        <v>768</v>
      </c>
      <c r="J118" s="57" t="s">
        <v>768</v>
      </c>
      <c r="L118" t="s">
        <v>679</v>
      </c>
      <c r="M118" t="s">
        <v>720</v>
      </c>
      <c r="N118" s="58"/>
      <c r="O118" s="58"/>
      <c r="P118" s="58"/>
      <c r="Q118" s="59" t="str">
        <f ca="1">IF(Register[[#This Row],[Last Verified]]="","",TODAY()-Register[[#This Row],[Last Verified]])</f>
        <v/>
      </c>
      <c r="R11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8" t="s">
        <v>1126</v>
      </c>
    </row>
    <row r="119" spans="1:21" x14ac:dyDescent="0.25">
      <c r="A119" t="s">
        <v>1127</v>
      </c>
      <c r="B119" t="s">
        <v>718</v>
      </c>
      <c r="C119" t="s">
        <v>680</v>
      </c>
      <c r="F119" s="57" t="s">
        <v>768</v>
      </c>
      <c r="G119" s="57" t="s">
        <v>768</v>
      </c>
      <c r="H119" s="57" t="s">
        <v>768</v>
      </c>
      <c r="I119" s="57" t="s">
        <v>768</v>
      </c>
      <c r="J119" s="57" t="s">
        <v>768</v>
      </c>
      <c r="L119" t="s">
        <v>681</v>
      </c>
      <c r="M119" t="s">
        <v>720</v>
      </c>
      <c r="N119" s="58"/>
      <c r="O119" s="58"/>
      <c r="P119" s="58"/>
      <c r="Q119" s="59" t="str">
        <f ca="1">IF(Register[[#This Row],[Last Verified]]="","",TODAY()-Register[[#This Row],[Last Verified]])</f>
        <v/>
      </c>
      <c r="R11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U119" t="s">
        <v>1128</v>
      </c>
    </row>
    <row r="120" spans="1:21" x14ac:dyDescent="0.25">
      <c r="A120" t="s">
        <v>1129</v>
      </c>
      <c r="B120" t="s">
        <v>719</v>
      </c>
      <c r="C120" t="s">
        <v>245</v>
      </c>
      <c r="D120" t="s">
        <v>1130</v>
      </c>
      <c r="F120" s="57" t="s">
        <v>248</v>
      </c>
      <c r="G120" s="57" t="s">
        <v>246</v>
      </c>
      <c r="H120" s="57" t="s">
        <v>768</v>
      </c>
      <c r="I120" s="57" t="s">
        <v>768</v>
      </c>
      <c r="J120" s="57" t="s">
        <v>768</v>
      </c>
      <c r="K120" t="s">
        <v>250</v>
      </c>
      <c r="L120" t="s">
        <v>991</v>
      </c>
      <c r="M120" t="s">
        <v>720</v>
      </c>
      <c r="N120" s="58"/>
      <c r="O120" s="58"/>
      <c r="P120" s="58"/>
      <c r="Q120" s="59" t="str">
        <f ca="1">IF(Register[[#This Row],[Last Verified]]="","",TODAY()-Register[[#This Row],[Last Verified]])</f>
        <v/>
      </c>
      <c r="R12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0" t="s">
        <v>1131</v>
      </c>
    </row>
    <row r="121" spans="1:21" x14ac:dyDescent="0.25">
      <c r="A121" t="s">
        <v>1132</v>
      </c>
      <c r="B121" t="s">
        <v>719</v>
      </c>
      <c r="C121" t="s">
        <v>251</v>
      </c>
      <c r="D121" t="s">
        <v>1130</v>
      </c>
      <c r="F121" s="57" t="s">
        <v>253</v>
      </c>
      <c r="G121" s="57" t="s">
        <v>252</v>
      </c>
      <c r="H121" s="57" t="s">
        <v>768</v>
      </c>
      <c r="I121" s="57" t="s">
        <v>768</v>
      </c>
      <c r="J121" s="57" t="s">
        <v>768</v>
      </c>
      <c r="K121" t="s">
        <v>250</v>
      </c>
      <c r="L121" t="s">
        <v>991</v>
      </c>
      <c r="M121" t="s">
        <v>720</v>
      </c>
      <c r="N121" s="58"/>
      <c r="O121" s="58"/>
      <c r="P121" s="58"/>
      <c r="Q121" s="59" t="str">
        <f ca="1">IF(Register[[#This Row],[Last Verified]]="","",TODAY()-Register[[#This Row],[Last Verified]])</f>
        <v/>
      </c>
      <c r="R12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1" t="s">
        <v>1133</v>
      </c>
    </row>
    <row r="122" spans="1:21" x14ac:dyDescent="0.25">
      <c r="A122" t="s">
        <v>1134</v>
      </c>
      <c r="B122" t="s">
        <v>719</v>
      </c>
      <c r="C122" t="s">
        <v>254</v>
      </c>
      <c r="D122" t="s">
        <v>1130</v>
      </c>
      <c r="F122" s="57" t="s">
        <v>256</v>
      </c>
      <c r="G122" s="57" t="s">
        <v>255</v>
      </c>
      <c r="H122" s="57" t="s">
        <v>768</v>
      </c>
      <c r="I122" s="57" t="s">
        <v>768</v>
      </c>
      <c r="J122" s="57" t="s">
        <v>768</v>
      </c>
      <c r="K122" t="s">
        <v>250</v>
      </c>
      <c r="L122" t="s">
        <v>991</v>
      </c>
      <c r="M122" t="s">
        <v>720</v>
      </c>
      <c r="N122" s="58"/>
      <c r="O122" s="58"/>
      <c r="P122" s="58"/>
      <c r="Q122" s="59" t="str">
        <f ca="1">IF(Register[[#This Row],[Last Verified]]="","",TODAY()-Register[[#This Row],[Last Verified]])</f>
        <v/>
      </c>
      <c r="R12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2" t="s">
        <v>1135</v>
      </c>
    </row>
    <row r="123" spans="1:21" x14ac:dyDescent="0.25">
      <c r="A123" t="s">
        <v>1136</v>
      </c>
      <c r="B123" t="s">
        <v>719</v>
      </c>
      <c r="C123" t="s">
        <v>257</v>
      </c>
      <c r="D123" t="s">
        <v>1130</v>
      </c>
      <c r="F123" s="57" t="s">
        <v>259</v>
      </c>
      <c r="G123" s="57" t="s">
        <v>258</v>
      </c>
      <c r="H123" s="57" t="s">
        <v>768</v>
      </c>
      <c r="I123" s="57" t="s">
        <v>768</v>
      </c>
      <c r="J123" s="57" t="s">
        <v>768</v>
      </c>
      <c r="K123" t="s">
        <v>250</v>
      </c>
      <c r="L123" t="s">
        <v>991</v>
      </c>
      <c r="M123" t="s">
        <v>720</v>
      </c>
      <c r="N123" s="58"/>
      <c r="O123" s="58"/>
      <c r="P123" s="58"/>
      <c r="Q123" s="59" t="str">
        <f ca="1">IF(Register[[#This Row],[Last Verified]]="","",TODAY()-Register[[#This Row],[Last Verified]])</f>
        <v/>
      </c>
      <c r="R12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3" t="s">
        <v>1137</v>
      </c>
    </row>
    <row r="124" spans="1:21" x14ac:dyDescent="0.25">
      <c r="A124" t="s">
        <v>1138</v>
      </c>
      <c r="B124" t="s">
        <v>719</v>
      </c>
      <c r="C124" t="s">
        <v>260</v>
      </c>
      <c r="D124" t="s">
        <v>1130</v>
      </c>
      <c r="F124" s="57" t="s">
        <v>262</v>
      </c>
      <c r="G124" s="57" t="s">
        <v>261</v>
      </c>
      <c r="H124" s="57" t="s">
        <v>768</v>
      </c>
      <c r="I124" s="57" t="s">
        <v>768</v>
      </c>
      <c r="J124" s="57" t="s">
        <v>768</v>
      </c>
      <c r="K124" t="s">
        <v>250</v>
      </c>
      <c r="L124" t="s">
        <v>991</v>
      </c>
      <c r="M124" t="s">
        <v>720</v>
      </c>
      <c r="N124" s="58"/>
      <c r="O124" s="58"/>
      <c r="P124" s="58"/>
      <c r="Q124" s="59" t="str">
        <f ca="1">IF(Register[[#This Row],[Last Verified]]="","",TODAY()-Register[[#This Row],[Last Verified]])</f>
        <v/>
      </c>
      <c r="R12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4" t="s">
        <v>1139</v>
      </c>
    </row>
    <row r="125" spans="1:21" x14ac:dyDescent="0.25">
      <c r="A125" t="s">
        <v>1140</v>
      </c>
      <c r="B125" t="s">
        <v>719</v>
      </c>
      <c r="C125" t="s">
        <v>263</v>
      </c>
      <c r="D125" t="s">
        <v>1130</v>
      </c>
      <c r="F125" s="57" t="s">
        <v>265</v>
      </c>
      <c r="G125" s="57" t="s">
        <v>264</v>
      </c>
      <c r="H125" s="57" t="s">
        <v>768</v>
      </c>
      <c r="I125" s="57" t="s">
        <v>768</v>
      </c>
      <c r="J125" s="57" t="s">
        <v>768</v>
      </c>
      <c r="K125" t="s">
        <v>250</v>
      </c>
      <c r="L125" t="s">
        <v>991</v>
      </c>
      <c r="M125" t="s">
        <v>720</v>
      </c>
      <c r="N125" s="58"/>
      <c r="O125" s="58"/>
      <c r="P125" s="58"/>
      <c r="Q125" s="59" t="str">
        <f ca="1">IF(Register[[#This Row],[Last Verified]]="","",TODAY()-Register[[#This Row],[Last Verified]])</f>
        <v/>
      </c>
      <c r="R12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5" t="s">
        <v>1141</v>
      </c>
    </row>
    <row r="126" spans="1:21" x14ac:dyDescent="0.25">
      <c r="A126" t="s">
        <v>1142</v>
      </c>
      <c r="B126" t="s">
        <v>719</v>
      </c>
      <c r="C126" t="s">
        <v>266</v>
      </c>
      <c r="D126" t="s">
        <v>1130</v>
      </c>
      <c r="F126" s="57" t="s">
        <v>268</v>
      </c>
      <c r="G126" s="57" t="s">
        <v>267</v>
      </c>
      <c r="H126" s="57" t="s">
        <v>768</v>
      </c>
      <c r="I126" s="57" t="s">
        <v>768</v>
      </c>
      <c r="J126" s="57" t="s">
        <v>768</v>
      </c>
      <c r="K126" t="s">
        <v>250</v>
      </c>
      <c r="L126" t="s">
        <v>991</v>
      </c>
      <c r="M126" t="s">
        <v>720</v>
      </c>
      <c r="N126" s="58"/>
      <c r="O126" s="58"/>
      <c r="P126" s="58"/>
      <c r="Q126" s="59" t="str">
        <f ca="1">IF(Register[[#This Row],[Last Verified]]="","",TODAY()-Register[[#This Row],[Last Verified]])</f>
        <v/>
      </c>
      <c r="R12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6" t="s">
        <v>1143</v>
      </c>
    </row>
    <row r="127" spans="1:21" x14ac:dyDescent="0.25">
      <c r="A127" t="s">
        <v>1144</v>
      </c>
      <c r="B127" t="s">
        <v>719</v>
      </c>
      <c r="C127" t="s">
        <v>1145</v>
      </c>
      <c r="D127" t="s">
        <v>1130</v>
      </c>
      <c r="F127" s="57" t="s">
        <v>271</v>
      </c>
      <c r="G127" s="57" t="s">
        <v>270</v>
      </c>
      <c r="H127" s="57" t="s">
        <v>768</v>
      </c>
      <c r="I127" s="57" t="s">
        <v>768</v>
      </c>
      <c r="J127" s="57" t="s">
        <v>768</v>
      </c>
      <c r="K127" t="s">
        <v>250</v>
      </c>
      <c r="L127" t="s">
        <v>991</v>
      </c>
      <c r="M127" t="s">
        <v>720</v>
      </c>
      <c r="N127" s="58"/>
      <c r="O127" s="58"/>
      <c r="P127" s="58"/>
      <c r="Q127" s="59" t="str">
        <f ca="1">IF(Register[[#This Row],[Last Verified]]="","",TODAY()-Register[[#This Row],[Last Verified]])</f>
        <v/>
      </c>
      <c r="R12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7" t="s">
        <v>1146</v>
      </c>
    </row>
    <row r="128" spans="1:21" x14ac:dyDescent="0.25">
      <c r="A128" t="s">
        <v>1147</v>
      </c>
      <c r="B128" t="s">
        <v>719</v>
      </c>
      <c r="C128" t="s">
        <v>1148</v>
      </c>
      <c r="D128" t="s">
        <v>1130</v>
      </c>
      <c r="F128" s="57" t="s">
        <v>274</v>
      </c>
      <c r="G128" s="57" t="s">
        <v>273</v>
      </c>
      <c r="H128" s="57" t="s">
        <v>768</v>
      </c>
      <c r="I128" s="57" t="s">
        <v>768</v>
      </c>
      <c r="J128" s="57" t="s">
        <v>768</v>
      </c>
      <c r="K128" t="s">
        <v>250</v>
      </c>
      <c r="L128" t="s">
        <v>991</v>
      </c>
      <c r="M128" t="s">
        <v>720</v>
      </c>
      <c r="N128" s="58"/>
      <c r="O128" s="58"/>
      <c r="P128" s="58"/>
      <c r="Q128" s="59" t="str">
        <f ca="1">IF(Register[[#This Row],[Last Verified]]="","",TODAY()-Register[[#This Row],[Last Verified]])</f>
        <v/>
      </c>
      <c r="R12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8" t="s">
        <v>1149</v>
      </c>
    </row>
    <row r="129" spans="1:21" x14ac:dyDescent="0.25">
      <c r="A129" t="s">
        <v>1150</v>
      </c>
      <c r="B129" t="s">
        <v>719</v>
      </c>
      <c r="C129" t="s">
        <v>1151</v>
      </c>
      <c r="D129" t="s">
        <v>1130</v>
      </c>
      <c r="F129" s="57" t="s">
        <v>277</v>
      </c>
      <c r="G129" s="57" t="s">
        <v>276</v>
      </c>
      <c r="H129" s="57" t="s">
        <v>768</v>
      </c>
      <c r="I129" s="57" t="s">
        <v>768</v>
      </c>
      <c r="J129" s="57" t="s">
        <v>768</v>
      </c>
      <c r="K129" t="s">
        <v>250</v>
      </c>
      <c r="L129" t="s">
        <v>991</v>
      </c>
      <c r="M129" t="s">
        <v>720</v>
      </c>
      <c r="N129" s="58"/>
      <c r="O129" s="58"/>
      <c r="P129" s="58"/>
      <c r="Q129" s="59" t="str">
        <f ca="1">IF(Register[[#This Row],[Last Verified]]="","",TODAY()-Register[[#This Row],[Last Verified]])</f>
        <v/>
      </c>
      <c r="R12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29" t="s">
        <v>1152</v>
      </c>
    </row>
    <row r="130" spans="1:21" x14ac:dyDescent="0.25">
      <c r="A130" t="s">
        <v>1153</v>
      </c>
      <c r="B130" t="s">
        <v>719</v>
      </c>
      <c r="C130" t="s">
        <v>1154</v>
      </c>
      <c r="D130" t="s">
        <v>1130</v>
      </c>
      <c r="F130" s="57" t="s">
        <v>280</v>
      </c>
      <c r="G130" s="57" t="s">
        <v>279</v>
      </c>
      <c r="H130" s="57" t="s">
        <v>768</v>
      </c>
      <c r="I130" s="57" t="s">
        <v>768</v>
      </c>
      <c r="J130" s="57" t="s">
        <v>768</v>
      </c>
      <c r="K130" t="s">
        <v>250</v>
      </c>
      <c r="L130" t="s">
        <v>991</v>
      </c>
      <c r="M130" t="s">
        <v>720</v>
      </c>
      <c r="N130" s="58"/>
      <c r="O130" s="58"/>
      <c r="P130" s="58"/>
      <c r="Q130" s="59" t="str">
        <f ca="1">IF(Register[[#This Row],[Last Verified]]="","",TODAY()-Register[[#This Row],[Last Verified]])</f>
        <v/>
      </c>
      <c r="R13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0" t="s">
        <v>1155</v>
      </c>
    </row>
    <row r="131" spans="1:21" x14ac:dyDescent="0.25">
      <c r="A131" t="s">
        <v>1156</v>
      </c>
      <c r="B131" t="s">
        <v>719</v>
      </c>
      <c r="C131" t="s">
        <v>1157</v>
      </c>
      <c r="D131" t="s">
        <v>1130</v>
      </c>
      <c r="F131" s="57" t="s">
        <v>283</v>
      </c>
      <c r="G131" s="57" t="s">
        <v>282</v>
      </c>
      <c r="H131" s="57" t="s">
        <v>768</v>
      </c>
      <c r="I131" s="57" t="s">
        <v>768</v>
      </c>
      <c r="J131" s="57" t="s">
        <v>768</v>
      </c>
      <c r="K131" t="s">
        <v>250</v>
      </c>
      <c r="L131" t="s">
        <v>991</v>
      </c>
      <c r="M131" t="s">
        <v>720</v>
      </c>
      <c r="N131" s="58"/>
      <c r="O131" s="58"/>
      <c r="P131" s="58"/>
      <c r="Q131" s="59" t="str">
        <f ca="1">IF(Register[[#This Row],[Last Verified]]="","",TODAY()-Register[[#This Row],[Last Verified]])</f>
        <v/>
      </c>
      <c r="R13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1" t="s">
        <v>1158</v>
      </c>
    </row>
    <row r="132" spans="1:21" x14ac:dyDescent="0.25">
      <c r="A132" t="s">
        <v>1159</v>
      </c>
      <c r="B132" t="s">
        <v>719</v>
      </c>
      <c r="C132" t="s">
        <v>284</v>
      </c>
      <c r="D132" t="s">
        <v>1130</v>
      </c>
      <c r="E132" t="s">
        <v>1160</v>
      </c>
      <c r="F132" s="57" t="s">
        <v>287</v>
      </c>
      <c r="G132" s="57" t="s">
        <v>285</v>
      </c>
      <c r="H132" s="57" t="s">
        <v>768</v>
      </c>
      <c r="I132" s="57" t="s">
        <v>768</v>
      </c>
      <c r="J132" s="57" t="s">
        <v>768</v>
      </c>
      <c r="K132" t="s">
        <v>250</v>
      </c>
      <c r="L132" t="s">
        <v>991</v>
      </c>
      <c r="M132" t="s">
        <v>720</v>
      </c>
      <c r="N132" s="58"/>
      <c r="O132" s="58"/>
      <c r="P132" s="58"/>
      <c r="Q132" s="59" t="str">
        <f ca="1">IF(Register[[#This Row],[Last Verified]]="","",TODAY()-Register[[#This Row],[Last Verified]])</f>
        <v/>
      </c>
      <c r="R13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2" t="s">
        <v>1161</v>
      </c>
    </row>
    <row r="133" spans="1:21" x14ac:dyDescent="0.25">
      <c r="A133" t="s">
        <v>1162</v>
      </c>
      <c r="B133" t="s">
        <v>719</v>
      </c>
      <c r="C133" t="s">
        <v>284</v>
      </c>
      <c r="D133" t="s">
        <v>1130</v>
      </c>
      <c r="E133" t="s">
        <v>1160</v>
      </c>
      <c r="F133" s="57" t="s">
        <v>289</v>
      </c>
      <c r="G133" s="57" t="s">
        <v>288</v>
      </c>
      <c r="H133" s="57" t="s">
        <v>768</v>
      </c>
      <c r="I133" s="57" t="s">
        <v>768</v>
      </c>
      <c r="J133" s="57" t="s">
        <v>768</v>
      </c>
      <c r="K133" t="s">
        <v>250</v>
      </c>
      <c r="L133" t="s">
        <v>991</v>
      </c>
      <c r="M133" t="s">
        <v>720</v>
      </c>
      <c r="N133" s="58"/>
      <c r="O133" s="58"/>
      <c r="P133" s="58"/>
      <c r="Q133" s="59" t="str">
        <f ca="1">IF(Register[[#This Row],[Last Verified]]="","",TODAY()-Register[[#This Row],[Last Verified]])</f>
        <v/>
      </c>
      <c r="R13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3" t="s">
        <v>1163</v>
      </c>
    </row>
    <row r="134" spans="1:21" x14ac:dyDescent="0.25">
      <c r="A134" t="s">
        <v>1164</v>
      </c>
      <c r="B134" t="s">
        <v>719</v>
      </c>
      <c r="D134" t="s">
        <v>291</v>
      </c>
      <c r="F134" s="57" t="s">
        <v>292</v>
      </c>
      <c r="G134" s="57" t="s">
        <v>768</v>
      </c>
      <c r="H134" s="57" t="s">
        <v>768</v>
      </c>
      <c r="I134" s="57" t="s">
        <v>768</v>
      </c>
      <c r="J134" s="57" t="s">
        <v>768</v>
      </c>
      <c r="K134" t="s">
        <v>250</v>
      </c>
      <c r="L134" t="s">
        <v>991</v>
      </c>
      <c r="M134" t="s">
        <v>720</v>
      </c>
      <c r="N134" s="58"/>
      <c r="O134" s="58"/>
      <c r="P134" s="58"/>
      <c r="Q134" s="59" t="str">
        <f ca="1">IF(Register[[#This Row],[Last Verified]]="","",TODAY()-Register[[#This Row],[Last Verified]])</f>
        <v/>
      </c>
      <c r="R13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4" t="s">
        <v>1165</v>
      </c>
    </row>
    <row r="135" spans="1:21" x14ac:dyDescent="0.25">
      <c r="A135" t="s">
        <v>1166</v>
      </c>
      <c r="B135" t="s">
        <v>719</v>
      </c>
      <c r="C135" t="s">
        <v>293</v>
      </c>
      <c r="D135" t="s">
        <v>1130</v>
      </c>
      <c r="F135" s="57" t="s">
        <v>295</v>
      </c>
      <c r="G135" s="57" t="s">
        <v>294</v>
      </c>
      <c r="H135" s="57" t="s">
        <v>768</v>
      </c>
      <c r="I135" s="57" t="s">
        <v>768</v>
      </c>
      <c r="J135" s="57" t="s">
        <v>768</v>
      </c>
      <c r="K135" t="s">
        <v>250</v>
      </c>
      <c r="L135" t="s">
        <v>956</v>
      </c>
      <c r="M135" t="s">
        <v>720</v>
      </c>
      <c r="N135" s="58"/>
      <c r="O135" s="58"/>
      <c r="P135" s="58"/>
      <c r="Q135" s="59" t="str">
        <f ca="1">IF(Register[[#This Row],[Last Verified]]="","",TODAY()-Register[[#This Row],[Last Verified]])</f>
        <v/>
      </c>
      <c r="R13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5" t="s">
        <v>1167</v>
      </c>
    </row>
    <row r="136" spans="1:21" x14ac:dyDescent="0.25">
      <c r="A136" t="s">
        <v>1168</v>
      </c>
      <c r="B136" t="s">
        <v>719</v>
      </c>
      <c r="C136" t="s">
        <v>297</v>
      </c>
      <c r="D136" t="s">
        <v>1130</v>
      </c>
      <c r="F136" s="57" t="s">
        <v>299</v>
      </c>
      <c r="G136" s="57" t="s">
        <v>298</v>
      </c>
      <c r="H136" s="57" t="s">
        <v>768</v>
      </c>
      <c r="I136" s="57" t="s">
        <v>768</v>
      </c>
      <c r="J136" s="57" t="s">
        <v>768</v>
      </c>
      <c r="K136" t="s">
        <v>250</v>
      </c>
      <c r="L136" t="s">
        <v>956</v>
      </c>
      <c r="M136" t="s">
        <v>720</v>
      </c>
      <c r="N136" s="58"/>
      <c r="O136" s="58"/>
      <c r="P136" s="58"/>
      <c r="Q136" s="59" t="str">
        <f ca="1">IF(Register[[#This Row],[Last Verified]]="","",TODAY()-Register[[#This Row],[Last Verified]])</f>
        <v/>
      </c>
      <c r="R13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6" t="s">
        <v>1169</v>
      </c>
    </row>
    <row r="137" spans="1:21" x14ac:dyDescent="0.25">
      <c r="A137" t="s">
        <v>1170</v>
      </c>
      <c r="B137" t="s">
        <v>719</v>
      </c>
      <c r="C137" t="s">
        <v>300</v>
      </c>
      <c r="D137" t="s">
        <v>1130</v>
      </c>
      <c r="F137" s="57" t="s">
        <v>302</v>
      </c>
      <c r="G137" s="57" t="s">
        <v>301</v>
      </c>
      <c r="H137" s="57" t="s">
        <v>768</v>
      </c>
      <c r="I137" s="57" t="s">
        <v>768</v>
      </c>
      <c r="J137" s="57" t="s">
        <v>768</v>
      </c>
      <c r="K137" t="s">
        <v>250</v>
      </c>
      <c r="L137" t="s">
        <v>956</v>
      </c>
      <c r="M137" t="s">
        <v>720</v>
      </c>
      <c r="N137" s="58"/>
      <c r="O137" s="58"/>
      <c r="P137" s="58"/>
      <c r="Q137" s="59" t="str">
        <f ca="1">IF(Register[[#This Row],[Last Verified]]="","",TODAY()-Register[[#This Row],[Last Verified]])</f>
        <v/>
      </c>
      <c r="R13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7" t="s">
        <v>1171</v>
      </c>
    </row>
    <row r="138" spans="1:21" x14ac:dyDescent="0.25">
      <c r="A138" t="s">
        <v>1172</v>
      </c>
      <c r="B138" t="s">
        <v>719</v>
      </c>
      <c r="C138" t="s">
        <v>303</v>
      </c>
      <c r="D138" t="s">
        <v>1130</v>
      </c>
      <c r="F138" s="57" t="s">
        <v>305</v>
      </c>
      <c r="G138" s="57" t="s">
        <v>304</v>
      </c>
      <c r="H138" s="57" t="s">
        <v>768</v>
      </c>
      <c r="I138" s="57" t="s">
        <v>768</v>
      </c>
      <c r="J138" s="57" t="s">
        <v>768</v>
      </c>
      <c r="K138" t="s">
        <v>250</v>
      </c>
      <c r="L138" t="s">
        <v>956</v>
      </c>
      <c r="M138" t="s">
        <v>720</v>
      </c>
      <c r="N138" s="58"/>
      <c r="O138" s="58"/>
      <c r="P138" s="58"/>
      <c r="Q138" s="59" t="str">
        <f ca="1">IF(Register[[#This Row],[Last Verified]]="","",TODAY()-Register[[#This Row],[Last Verified]])</f>
        <v/>
      </c>
      <c r="R13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8" t="s">
        <v>1173</v>
      </c>
    </row>
    <row r="139" spans="1:21" x14ac:dyDescent="0.25">
      <c r="A139" t="s">
        <v>1174</v>
      </c>
      <c r="B139" t="s">
        <v>719</v>
      </c>
      <c r="C139" t="s">
        <v>306</v>
      </c>
      <c r="D139" t="s">
        <v>1130</v>
      </c>
      <c r="F139" s="57" t="s">
        <v>308</v>
      </c>
      <c r="G139" s="57" t="s">
        <v>307</v>
      </c>
      <c r="H139" s="57" t="s">
        <v>768</v>
      </c>
      <c r="I139" s="57" t="s">
        <v>768</v>
      </c>
      <c r="J139" s="57" t="s">
        <v>768</v>
      </c>
      <c r="K139" t="s">
        <v>250</v>
      </c>
      <c r="L139" t="s">
        <v>956</v>
      </c>
      <c r="M139" t="s">
        <v>720</v>
      </c>
      <c r="N139" s="58"/>
      <c r="O139" s="58"/>
      <c r="P139" s="58"/>
      <c r="Q139" s="59" t="str">
        <f ca="1">IF(Register[[#This Row],[Last Verified]]="","",TODAY()-Register[[#This Row],[Last Verified]])</f>
        <v/>
      </c>
      <c r="R13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39" t="s">
        <v>1175</v>
      </c>
    </row>
    <row r="140" spans="1:21" x14ac:dyDescent="0.25">
      <c r="A140" t="s">
        <v>1176</v>
      </c>
      <c r="B140" t="s">
        <v>719</v>
      </c>
      <c r="C140" t="s">
        <v>1177</v>
      </c>
      <c r="D140" t="s">
        <v>1130</v>
      </c>
      <c r="F140" s="57" t="s">
        <v>311</v>
      </c>
      <c r="G140" s="57" t="s">
        <v>310</v>
      </c>
      <c r="H140" s="57" t="s">
        <v>768</v>
      </c>
      <c r="I140" s="57" t="s">
        <v>768</v>
      </c>
      <c r="J140" s="57" t="s">
        <v>768</v>
      </c>
      <c r="K140" t="s">
        <v>250</v>
      </c>
      <c r="L140" t="s">
        <v>956</v>
      </c>
      <c r="M140" t="s">
        <v>720</v>
      </c>
      <c r="N140" s="58"/>
      <c r="O140" s="58"/>
      <c r="P140" s="58"/>
      <c r="Q140" s="59" t="str">
        <f ca="1">IF(Register[[#This Row],[Last Verified]]="","",TODAY()-Register[[#This Row],[Last Verified]])</f>
        <v/>
      </c>
      <c r="R14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0" t="s">
        <v>1178</v>
      </c>
    </row>
    <row r="141" spans="1:21" x14ac:dyDescent="0.25">
      <c r="A141" t="s">
        <v>1179</v>
      </c>
      <c r="B141" t="s">
        <v>719</v>
      </c>
      <c r="C141" t="s">
        <v>1180</v>
      </c>
      <c r="D141" t="s">
        <v>1130</v>
      </c>
      <c r="F141" s="57" t="s">
        <v>314</v>
      </c>
      <c r="G141" s="57" t="s">
        <v>313</v>
      </c>
      <c r="H141" s="57" t="s">
        <v>768</v>
      </c>
      <c r="I141" s="57" t="s">
        <v>768</v>
      </c>
      <c r="J141" s="57" t="s">
        <v>768</v>
      </c>
      <c r="K141" t="s">
        <v>250</v>
      </c>
      <c r="L141" t="s">
        <v>956</v>
      </c>
      <c r="M141" t="s">
        <v>720</v>
      </c>
      <c r="N141" s="58"/>
      <c r="O141" s="58"/>
      <c r="P141" s="58"/>
      <c r="Q141" s="59" t="str">
        <f ca="1">IF(Register[[#This Row],[Last Verified]]="","",TODAY()-Register[[#This Row],[Last Verified]])</f>
        <v/>
      </c>
      <c r="R14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1" t="s">
        <v>1181</v>
      </c>
    </row>
    <row r="142" spans="1:21" x14ac:dyDescent="0.25">
      <c r="A142" t="s">
        <v>1182</v>
      </c>
      <c r="B142" t="s">
        <v>719</v>
      </c>
      <c r="C142" t="s">
        <v>1183</v>
      </c>
      <c r="D142" t="s">
        <v>1130</v>
      </c>
      <c r="F142" s="57" t="s">
        <v>317</v>
      </c>
      <c r="G142" s="57" t="s">
        <v>316</v>
      </c>
      <c r="H142" s="57" t="s">
        <v>768</v>
      </c>
      <c r="I142" s="57" t="s">
        <v>768</v>
      </c>
      <c r="J142" s="57" t="s">
        <v>768</v>
      </c>
      <c r="K142" t="s">
        <v>250</v>
      </c>
      <c r="L142" t="s">
        <v>956</v>
      </c>
      <c r="M142" t="s">
        <v>720</v>
      </c>
      <c r="N142" s="58"/>
      <c r="O142" s="58"/>
      <c r="P142" s="58"/>
      <c r="Q142" s="59" t="str">
        <f ca="1">IF(Register[[#This Row],[Last Verified]]="","",TODAY()-Register[[#This Row],[Last Verified]])</f>
        <v/>
      </c>
      <c r="R14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2" t="s">
        <v>1184</v>
      </c>
    </row>
    <row r="143" spans="1:21" x14ac:dyDescent="0.25">
      <c r="A143" t="s">
        <v>1185</v>
      </c>
      <c r="B143" t="s">
        <v>719</v>
      </c>
      <c r="C143" t="s">
        <v>284</v>
      </c>
      <c r="D143" t="s">
        <v>1130</v>
      </c>
      <c r="E143" t="s">
        <v>1160</v>
      </c>
      <c r="F143" s="57" t="s">
        <v>319</v>
      </c>
      <c r="G143" s="57" t="s">
        <v>318</v>
      </c>
      <c r="H143" s="57" t="s">
        <v>768</v>
      </c>
      <c r="I143" s="57" t="s">
        <v>768</v>
      </c>
      <c r="J143" s="57" t="s">
        <v>768</v>
      </c>
      <c r="K143" t="s">
        <v>250</v>
      </c>
      <c r="L143" t="s">
        <v>956</v>
      </c>
      <c r="M143" t="s">
        <v>720</v>
      </c>
      <c r="N143" s="58"/>
      <c r="O143" s="58"/>
      <c r="P143" s="58"/>
      <c r="Q143" s="59" t="str">
        <f ca="1">IF(Register[[#This Row],[Last Verified]]="","",TODAY()-Register[[#This Row],[Last Verified]])</f>
        <v/>
      </c>
      <c r="R14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3" t="s">
        <v>1186</v>
      </c>
    </row>
    <row r="144" spans="1:21" x14ac:dyDescent="0.25">
      <c r="A144" t="s">
        <v>1187</v>
      </c>
      <c r="B144" t="s">
        <v>719</v>
      </c>
      <c r="C144" t="s">
        <v>284</v>
      </c>
      <c r="D144" t="s">
        <v>1130</v>
      </c>
      <c r="E144" t="s">
        <v>1160</v>
      </c>
      <c r="F144" s="57" t="s">
        <v>321</v>
      </c>
      <c r="G144" s="57" t="s">
        <v>320</v>
      </c>
      <c r="H144" s="57" t="s">
        <v>768</v>
      </c>
      <c r="I144" s="57" t="s">
        <v>768</v>
      </c>
      <c r="J144" s="57" t="s">
        <v>768</v>
      </c>
      <c r="K144" t="s">
        <v>250</v>
      </c>
      <c r="L144" t="s">
        <v>956</v>
      </c>
      <c r="M144" t="s">
        <v>720</v>
      </c>
      <c r="N144" s="58"/>
      <c r="O144" s="58"/>
      <c r="P144" s="58"/>
      <c r="Q144" s="59" t="str">
        <f ca="1">IF(Register[[#This Row],[Last Verified]]="","",TODAY()-Register[[#This Row],[Last Verified]])</f>
        <v/>
      </c>
      <c r="R14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4" t="s">
        <v>1188</v>
      </c>
    </row>
    <row r="145" spans="1:21" x14ac:dyDescent="0.25">
      <c r="A145" t="s">
        <v>1189</v>
      </c>
      <c r="B145" t="s">
        <v>719</v>
      </c>
      <c r="C145" t="s">
        <v>284</v>
      </c>
      <c r="D145" t="s">
        <v>1130</v>
      </c>
      <c r="E145" t="s">
        <v>1160</v>
      </c>
      <c r="F145" s="57" t="s">
        <v>323</v>
      </c>
      <c r="G145" s="57" t="s">
        <v>322</v>
      </c>
      <c r="H145" s="57" t="s">
        <v>768</v>
      </c>
      <c r="I145" s="57" t="s">
        <v>768</v>
      </c>
      <c r="J145" s="57" t="s">
        <v>768</v>
      </c>
      <c r="K145" t="s">
        <v>250</v>
      </c>
      <c r="L145" t="s">
        <v>956</v>
      </c>
      <c r="M145" t="s">
        <v>720</v>
      </c>
      <c r="N145" s="58"/>
      <c r="O145" s="58"/>
      <c r="P145" s="58"/>
      <c r="Q145" s="59" t="str">
        <f ca="1">IF(Register[[#This Row],[Last Verified]]="","",TODAY()-Register[[#This Row],[Last Verified]])</f>
        <v/>
      </c>
      <c r="R14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5" t="s">
        <v>1190</v>
      </c>
    </row>
    <row r="146" spans="1:21" x14ac:dyDescent="0.25">
      <c r="A146" t="s">
        <v>1191</v>
      </c>
      <c r="B146" t="s">
        <v>719</v>
      </c>
      <c r="D146" t="s">
        <v>291</v>
      </c>
      <c r="F146" s="57" t="s">
        <v>324</v>
      </c>
      <c r="G146" s="57" t="s">
        <v>768</v>
      </c>
      <c r="H146" s="57" t="s">
        <v>768</v>
      </c>
      <c r="I146" s="57" t="s">
        <v>768</v>
      </c>
      <c r="J146" s="57" t="s">
        <v>768</v>
      </c>
      <c r="K146" t="s">
        <v>250</v>
      </c>
      <c r="L146" t="s">
        <v>956</v>
      </c>
      <c r="M146" t="s">
        <v>720</v>
      </c>
      <c r="N146" s="58"/>
      <c r="O146" s="58"/>
      <c r="P146" s="58"/>
      <c r="Q146" s="59" t="str">
        <f ca="1">IF(Register[[#This Row],[Last Verified]]="","",TODAY()-Register[[#This Row],[Last Verified]])</f>
        <v/>
      </c>
      <c r="R14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6" t="s">
        <v>1192</v>
      </c>
    </row>
    <row r="147" spans="1:21" x14ac:dyDescent="0.25">
      <c r="A147" t="s">
        <v>1193</v>
      </c>
      <c r="B147" t="s">
        <v>719</v>
      </c>
      <c r="D147" t="s">
        <v>291</v>
      </c>
      <c r="F147" s="57" t="s">
        <v>325</v>
      </c>
      <c r="G147" s="57" t="s">
        <v>768</v>
      </c>
      <c r="H147" s="57" t="s">
        <v>768</v>
      </c>
      <c r="I147" s="57" t="s">
        <v>768</v>
      </c>
      <c r="J147" s="57" t="s">
        <v>768</v>
      </c>
      <c r="K147" t="s">
        <v>250</v>
      </c>
      <c r="L147" t="s">
        <v>956</v>
      </c>
      <c r="M147" t="s">
        <v>720</v>
      </c>
      <c r="N147" s="58"/>
      <c r="O147" s="58"/>
      <c r="P147" s="58"/>
      <c r="Q147" s="59" t="str">
        <f ca="1">IF(Register[[#This Row],[Last Verified]]="","",TODAY()-Register[[#This Row],[Last Verified]])</f>
        <v/>
      </c>
      <c r="R14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7" t="s">
        <v>1194</v>
      </c>
    </row>
    <row r="148" spans="1:21" x14ac:dyDescent="0.25">
      <c r="A148" t="s">
        <v>1195</v>
      </c>
      <c r="B148" t="s">
        <v>719</v>
      </c>
      <c r="D148" t="s">
        <v>291</v>
      </c>
      <c r="F148" s="57" t="s">
        <v>326</v>
      </c>
      <c r="G148" s="57" t="s">
        <v>768</v>
      </c>
      <c r="H148" s="57" t="s">
        <v>768</v>
      </c>
      <c r="I148" s="57" t="s">
        <v>768</v>
      </c>
      <c r="J148" s="57" t="s">
        <v>768</v>
      </c>
      <c r="K148" t="s">
        <v>250</v>
      </c>
      <c r="L148" t="s">
        <v>956</v>
      </c>
      <c r="M148" t="s">
        <v>720</v>
      </c>
      <c r="N148" s="58"/>
      <c r="O148" s="58"/>
      <c r="P148" s="58"/>
      <c r="Q148" s="59" t="str">
        <f ca="1">IF(Register[[#This Row],[Last Verified]]="","",TODAY()-Register[[#This Row],[Last Verified]])</f>
        <v/>
      </c>
      <c r="R14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8" t="s">
        <v>1196</v>
      </c>
    </row>
    <row r="149" spans="1:21" x14ac:dyDescent="0.25">
      <c r="A149" t="s">
        <v>1197</v>
      </c>
      <c r="B149" t="s">
        <v>719</v>
      </c>
      <c r="D149" t="s">
        <v>291</v>
      </c>
      <c r="F149" s="57" t="s">
        <v>327</v>
      </c>
      <c r="G149" s="57" t="s">
        <v>768</v>
      </c>
      <c r="H149" s="57" t="s">
        <v>768</v>
      </c>
      <c r="I149" s="57" t="s">
        <v>768</v>
      </c>
      <c r="J149" s="57" t="s">
        <v>768</v>
      </c>
      <c r="K149" t="s">
        <v>250</v>
      </c>
      <c r="L149" t="s">
        <v>956</v>
      </c>
      <c r="M149" t="s">
        <v>720</v>
      </c>
      <c r="N149" s="58"/>
      <c r="O149" s="58"/>
      <c r="P149" s="58"/>
      <c r="Q149" s="59" t="str">
        <f ca="1">IF(Register[[#This Row],[Last Verified]]="","",TODAY()-Register[[#This Row],[Last Verified]])</f>
        <v/>
      </c>
      <c r="R14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49" t="s">
        <v>1198</v>
      </c>
    </row>
    <row r="150" spans="1:21" x14ac:dyDescent="0.25">
      <c r="A150" t="s">
        <v>1199</v>
      </c>
      <c r="B150" t="s">
        <v>719</v>
      </c>
      <c r="C150" t="s">
        <v>328</v>
      </c>
      <c r="D150" t="s">
        <v>1130</v>
      </c>
      <c r="F150" s="57" t="s">
        <v>330</v>
      </c>
      <c r="G150" s="57" t="s">
        <v>329</v>
      </c>
      <c r="H150" s="57" t="s">
        <v>768</v>
      </c>
      <c r="I150" s="57" t="s">
        <v>768</v>
      </c>
      <c r="J150" s="57" t="s">
        <v>768</v>
      </c>
      <c r="K150" t="s">
        <v>250</v>
      </c>
      <c r="L150" t="s">
        <v>964</v>
      </c>
      <c r="M150" t="s">
        <v>720</v>
      </c>
      <c r="N150" s="58"/>
      <c r="O150" s="58"/>
      <c r="P150" s="58"/>
      <c r="Q150" s="59" t="str">
        <f ca="1">IF(Register[[#This Row],[Last Verified]]="","",TODAY()-Register[[#This Row],[Last Verified]])</f>
        <v/>
      </c>
      <c r="R15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0" t="s">
        <v>1200</v>
      </c>
    </row>
    <row r="151" spans="1:21" x14ac:dyDescent="0.25">
      <c r="A151" t="s">
        <v>1201</v>
      </c>
      <c r="B151" t="s">
        <v>719</v>
      </c>
      <c r="C151" t="s">
        <v>1202</v>
      </c>
      <c r="D151" t="s">
        <v>1130</v>
      </c>
      <c r="F151" s="57" t="s">
        <v>334</v>
      </c>
      <c r="G151" s="57" t="s">
        <v>333</v>
      </c>
      <c r="H151" s="57" t="s">
        <v>768</v>
      </c>
      <c r="I151" s="57" t="s">
        <v>768</v>
      </c>
      <c r="J151" s="57" t="s">
        <v>768</v>
      </c>
      <c r="K151" t="s">
        <v>250</v>
      </c>
      <c r="L151" t="s">
        <v>964</v>
      </c>
      <c r="M151" t="s">
        <v>720</v>
      </c>
      <c r="N151" s="58"/>
      <c r="O151" s="58"/>
      <c r="P151" s="58"/>
      <c r="Q151" s="59" t="str">
        <f ca="1">IF(Register[[#This Row],[Last Verified]]="","",TODAY()-Register[[#This Row],[Last Verified]])</f>
        <v/>
      </c>
      <c r="R15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1" t="s">
        <v>1203</v>
      </c>
    </row>
    <row r="152" spans="1:21" x14ac:dyDescent="0.25">
      <c r="A152" t="s">
        <v>1204</v>
      </c>
      <c r="B152" t="s">
        <v>719</v>
      </c>
      <c r="C152" t="s">
        <v>1205</v>
      </c>
      <c r="D152" t="s">
        <v>1130</v>
      </c>
      <c r="F152" s="57" t="s">
        <v>337</v>
      </c>
      <c r="G152" s="57" t="s">
        <v>336</v>
      </c>
      <c r="H152" s="57" t="s">
        <v>768</v>
      </c>
      <c r="I152" s="57" t="s">
        <v>768</v>
      </c>
      <c r="J152" s="57" t="s">
        <v>768</v>
      </c>
      <c r="K152" t="s">
        <v>250</v>
      </c>
      <c r="L152" t="s">
        <v>964</v>
      </c>
      <c r="M152" t="s">
        <v>720</v>
      </c>
      <c r="N152" s="58"/>
      <c r="O152" s="58"/>
      <c r="P152" s="58"/>
      <c r="Q152" s="59" t="str">
        <f ca="1">IF(Register[[#This Row],[Last Verified]]="","",TODAY()-Register[[#This Row],[Last Verified]])</f>
        <v/>
      </c>
      <c r="R15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2" t="s">
        <v>1206</v>
      </c>
    </row>
    <row r="153" spans="1:21" x14ac:dyDescent="0.25">
      <c r="A153" t="s">
        <v>1207</v>
      </c>
      <c r="B153" t="s">
        <v>719</v>
      </c>
      <c r="C153" t="s">
        <v>1208</v>
      </c>
      <c r="D153" t="s">
        <v>1130</v>
      </c>
      <c r="F153" s="57" t="s">
        <v>340</v>
      </c>
      <c r="G153" s="57" t="s">
        <v>339</v>
      </c>
      <c r="H153" s="57" t="s">
        <v>768</v>
      </c>
      <c r="I153" s="57" t="s">
        <v>768</v>
      </c>
      <c r="J153" s="57" t="s">
        <v>768</v>
      </c>
      <c r="K153" t="s">
        <v>250</v>
      </c>
      <c r="L153" t="s">
        <v>964</v>
      </c>
      <c r="M153" t="s">
        <v>720</v>
      </c>
      <c r="N153" s="58"/>
      <c r="O153" s="58"/>
      <c r="P153" s="58"/>
      <c r="Q153" s="59" t="str">
        <f ca="1">IF(Register[[#This Row],[Last Verified]]="","",TODAY()-Register[[#This Row],[Last Verified]])</f>
        <v/>
      </c>
      <c r="R15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3" t="s">
        <v>1209</v>
      </c>
    </row>
    <row r="154" spans="1:21" x14ac:dyDescent="0.25">
      <c r="A154" t="s">
        <v>1210</v>
      </c>
      <c r="B154" t="s">
        <v>719</v>
      </c>
      <c r="C154" t="s">
        <v>1211</v>
      </c>
      <c r="D154" t="s">
        <v>1130</v>
      </c>
      <c r="F154" s="57" t="s">
        <v>343</v>
      </c>
      <c r="G154" s="57" t="s">
        <v>342</v>
      </c>
      <c r="H154" s="57" t="s">
        <v>768</v>
      </c>
      <c r="I154" s="57" t="s">
        <v>768</v>
      </c>
      <c r="J154" s="57" t="s">
        <v>768</v>
      </c>
      <c r="K154" t="s">
        <v>250</v>
      </c>
      <c r="L154" t="s">
        <v>964</v>
      </c>
      <c r="M154" t="s">
        <v>720</v>
      </c>
      <c r="N154" s="58"/>
      <c r="O154" s="58"/>
      <c r="P154" s="58"/>
      <c r="Q154" s="59" t="str">
        <f ca="1">IF(Register[[#This Row],[Last Verified]]="","",TODAY()-Register[[#This Row],[Last Verified]])</f>
        <v/>
      </c>
      <c r="R15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4" t="s">
        <v>1212</v>
      </c>
    </row>
    <row r="155" spans="1:21" x14ac:dyDescent="0.25">
      <c r="A155" t="s">
        <v>1213</v>
      </c>
      <c r="B155" t="s">
        <v>719</v>
      </c>
      <c r="C155" t="s">
        <v>1214</v>
      </c>
      <c r="D155" t="s">
        <v>1130</v>
      </c>
      <c r="F155" s="57" t="s">
        <v>346</v>
      </c>
      <c r="G155" s="57" t="s">
        <v>345</v>
      </c>
      <c r="H155" s="57" t="s">
        <v>768</v>
      </c>
      <c r="I155" s="57" t="s">
        <v>768</v>
      </c>
      <c r="J155" s="57" t="s">
        <v>768</v>
      </c>
      <c r="K155" t="s">
        <v>250</v>
      </c>
      <c r="L155" t="s">
        <v>964</v>
      </c>
      <c r="M155" t="s">
        <v>720</v>
      </c>
      <c r="N155" s="58"/>
      <c r="O155" s="58"/>
      <c r="P155" s="58"/>
      <c r="Q155" s="59" t="str">
        <f ca="1">IF(Register[[#This Row],[Last Verified]]="","",TODAY()-Register[[#This Row],[Last Verified]])</f>
        <v/>
      </c>
      <c r="R15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5" t="s">
        <v>1215</v>
      </c>
    </row>
    <row r="156" spans="1:21" x14ac:dyDescent="0.25">
      <c r="A156" t="s">
        <v>1216</v>
      </c>
      <c r="B156" t="s">
        <v>719</v>
      </c>
      <c r="C156" t="s">
        <v>1217</v>
      </c>
      <c r="D156" t="s">
        <v>1130</v>
      </c>
      <c r="F156" s="57" t="s">
        <v>349</v>
      </c>
      <c r="G156" s="57" t="s">
        <v>348</v>
      </c>
      <c r="H156" s="57" t="s">
        <v>768</v>
      </c>
      <c r="I156" s="57" t="s">
        <v>768</v>
      </c>
      <c r="J156" s="57" t="s">
        <v>768</v>
      </c>
      <c r="K156" t="s">
        <v>250</v>
      </c>
      <c r="L156" t="s">
        <v>964</v>
      </c>
      <c r="M156" t="s">
        <v>720</v>
      </c>
      <c r="N156" s="58"/>
      <c r="O156" s="58"/>
      <c r="P156" s="58"/>
      <c r="Q156" s="59" t="str">
        <f ca="1">IF(Register[[#This Row],[Last Verified]]="","",TODAY()-Register[[#This Row],[Last Verified]])</f>
        <v/>
      </c>
      <c r="R15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6" t="s">
        <v>1218</v>
      </c>
    </row>
    <row r="157" spans="1:21" x14ac:dyDescent="0.25">
      <c r="A157" t="s">
        <v>1219</v>
      </c>
      <c r="B157" t="s">
        <v>719</v>
      </c>
      <c r="C157" t="s">
        <v>1220</v>
      </c>
      <c r="D157" t="s">
        <v>1130</v>
      </c>
      <c r="F157" s="57" t="s">
        <v>352</v>
      </c>
      <c r="G157" s="57" t="s">
        <v>351</v>
      </c>
      <c r="H157" s="57" t="s">
        <v>768</v>
      </c>
      <c r="I157" s="57" t="s">
        <v>768</v>
      </c>
      <c r="J157" s="57" t="s">
        <v>768</v>
      </c>
      <c r="K157" t="s">
        <v>250</v>
      </c>
      <c r="L157" t="s">
        <v>964</v>
      </c>
      <c r="M157" t="s">
        <v>720</v>
      </c>
      <c r="N157" s="58"/>
      <c r="O157" s="58"/>
      <c r="P157" s="58"/>
      <c r="Q157" s="59" t="str">
        <f ca="1">IF(Register[[#This Row],[Last Verified]]="","",TODAY()-Register[[#This Row],[Last Verified]])</f>
        <v/>
      </c>
      <c r="R15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7" t="s">
        <v>1221</v>
      </c>
    </row>
    <row r="158" spans="1:21" x14ac:dyDescent="0.25">
      <c r="A158" t="s">
        <v>1222</v>
      </c>
      <c r="B158" t="s">
        <v>719</v>
      </c>
      <c r="C158" t="s">
        <v>1223</v>
      </c>
      <c r="D158" t="s">
        <v>1130</v>
      </c>
      <c r="F158" s="57" t="s">
        <v>355</v>
      </c>
      <c r="G158" s="57" t="s">
        <v>354</v>
      </c>
      <c r="H158" s="57" t="s">
        <v>768</v>
      </c>
      <c r="I158" s="57" t="s">
        <v>768</v>
      </c>
      <c r="J158" s="57" t="s">
        <v>768</v>
      </c>
      <c r="K158" t="s">
        <v>250</v>
      </c>
      <c r="L158" t="s">
        <v>964</v>
      </c>
      <c r="M158" t="s">
        <v>720</v>
      </c>
      <c r="N158" s="58"/>
      <c r="O158" s="58"/>
      <c r="P158" s="58"/>
      <c r="Q158" s="59" t="str">
        <f ca="1">IF(Register[[#This Row],[Last Verified]]="","",TODAY()-Register[[#This Row],[Last Verified]])</f>
        <v/>
      </c>
      <c r="R15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8" t="s">
        <v>1224</v>
      </c>
    </row>
    <row r="159" spans="1:21" x14ac:dyDescent="0.25">
      <c r="A159" t="s">
        <v>1225</v>
      </c>
      <c r="B159" t="s">
        <v>719</v>
      </c>
      <c r="C159" t="s">
        <v>1226</v>
      </c>
      <c r="D159" t="s">
        <v>1130</v>
      </c>
      <c r="F159" s="57" t="s">
        <v>358</v>
      </c>
      <c r="G159" s="57" t="s">
        <v>357</v>
      </c>
      <c r="H159" s="57" t="s">
        <v>768</v>
      </c>
      <c r="I159" s="57" t="s">
        <v>768</v>
      </c>
      <c r="J159" s="57" t="s">
        <v>768</v>
      </c>
      <c r="K159" t="s">
        <v>250</v>
      </c>
      <c r="L159" t="s">
        <v>964</v>
      </c>
      <c r="M159" t="s">
        <v>720</v>
      </c>
      <c r="N159" s="58"/>
      <c r="O159" s="58"/>
      <c r="P159" s="58"/>
      <c r="Q159" s="59" t="str">
        <f ca="1">IF(Register[[#This Row],[Last Verified]]="","",TODAY()-Register[[#This Row],[Last Verified]])</f>
        <v/>
      </c>
      <c r="R15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59" t="s">
        <v>1227</v>
      </c>
    </row>
    <row r="160" spans="1:21" x14ac:dyDescent="0.25">
      <c r="A160" t="s">
        <v>1228</v>
      </c>
      <c r="B160" t="s">
        <v>719</v>
      </c>
      <c r="C160" t="s">
        <v>1229</v>
      </c>
      <c r="D160" t="s">
        <v>1130</v>
      </c>
      <c r="F160" s="57" t="s">
        <v>361</v>
      </c>
      <c r="G160" s="57" t="s">
        <v>360</v>
      </c>
      <c r="H160" s="57" t="s">
        <v>768</v>
      </c>
      <c r="I160" s="57" t="s">
        <v>768</v>
      </c>
      <c r="J160" s="57" t="s">
        <v>768</v>
      </c>
      <c r="K160" t="s">
        <v>250</v>
      </c>
      <c r="L160" t="s">
        <v>964</v>
      </c>
      <c r="M160" t="s">
        <v>720</v>
      </c>
      <c r="N160" s="58"/>
      <c r="O160" s="58"/>
      <c r="P160" s="58"/>
      <c r="Q160" s="59" t="str">
        <f ca="1">IF(Register[[#This Row],[Last Verified]]="","",TODAY()-Register[[#This Row],[Last Verified]])</f>
        <v/>
      </c>
      <c r="R16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0" t="s">
        <v>1230</v>
      </c>
    </row>
    <row r="161" spans="1:21" x14ac:dyDescent="0.25">
      <c r="A161" t="s">
        <v>1231</v>
      </c>
      <c r="B161" t="s">
        <v>719</v>
      </c>
      <c r="C161" t="s">
        <v>284</v>
      </c>
      <c r="D161" t="s">
        <v>1130</v>
      </c>
      <c r="E161" t="s">
        <v>1160</v>
      </c>
      <c r="F161" s="57" t="s">
        <v>363</v>
      </c>
      <c r="G161" s="57" t="s">
        <v>362</v>
      </c>
      <c r="H161" s="57" t="s">
        <v>768</v>
      </c>
      <c r="I161" s="57" t="s">
        <v>768</v>
      </c>
      <c r="J161" s="57" t="s">
        <v>768</v>
      </c>
      <c r="K161" t="s">
        <v>250</v>
      </c>
      <c r="L161" t="s">
        <v>964</v>
      </c>
      <c r="M161" t="s">
        <v>720</v>
      </c>
      <c r="N161" s="58"/>
      <c r="O161" s="58"/>
      <c r="P161" s="58"/>
      <c r="Q161" s="59" t="str">
        <f ca="1">IF(Register[[#This Row],[Last Verified]]="","",TODAY()-Register[[#This Row],[Last Verified]])</f>
        <v/>
      </c>
      <c r="R16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1" t="s">
        <v>1232</v>
      </c>
    </row>
    <row r="162" spans="1:21" x14ac:dyDescent="0.25">
      <c r="A162" t="s">
        <v>1233</v>
      </c>
      <c r="B162" t="s">
        <v>719</v>
      </c>
      <c r="D162" t="s">
        <v>291</v>
      </c>
      <c r="F162" s="57" t="s">
        <v>364</v>
      </c>
      <c r="G162" s="57" t="s">
        <v>768</v>
      </c>
      <c r="H162" s="57" t="s">
        <v>768</v>
      </c>
      <c r="I162" s="57" t="s">
        <v>768</v>
      </c>
      <c r="J162" s="57" t="s">
        <v>768</v>
      </c>
      <c r="K162" t="s">
        <v>250</v>
      </c>
      <c r="L162" t="s">
        <v>964</v>
      </c>
      <c r="M162" t="s">
        <v>720</v>
      </c>
      <c r="N162" s="58"/>
      <c r="O162" s="58"/>
      <c r="P162" s="58"/>
      <c r="Q162" s="59" t="str">
        <f ca="1">IF(Register[[#This Row],[Last Verified]]="","",TODAY()-Register[[#This Row],[Last Verified]])</f>
        <v/>
      </c>
      <c r="R16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2" t="s">
        <v>1234</v>
      </c>
    </row>
    <row r="163" spans="1:21" x14ac:dyDescent="0.25">
      <c r="A163" t="s">
        <v>1235</v>
      </c>
      <c r="B163" t="s">
        <v>719</v>
      </c>
      <c r="D163" t="s">
        <v>291</v>
      </c>
      <c r="F163" s="57" t="s">
        <v>365</v>
      </c>
      <c r="G163" s="57" t="s">
        <v>768</v>
      </c>
      <c r="H163" s="57" t="s">
        <v>768</v>
      </c>
      <c r="I163" s="57" t="s">
        <v>768</v>
      </c>
      <c r="J163" s="57" t="s">
        <v>768</v>
      </c>
      <c r="K163" t="s">
        <v>250</v>
      </c>
      <c r="L163" t="s">
        <v>964</v>
      </c>
      <c r="M163" t="s">
        <v>720</v>
      </c>
      <c r="N163" s="58"/>
      <c r="O163" s="58"/>
      <c r="P163" s="58"/>
      <c r="Q163" s="59" t="str">
        <f ca="1">IF(Register[[#This Row],[Last Verified]]="","",TODAY()-Register[[#This Row],[Last Verified]])</f>
        <v/>
      </c>
      <c r="R16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3" t="s">
        <v>1236</v>
      </c>
    </row>
    <row r="164" spans="1:21" x14ac:dyDescent="0.25">
      <c r="A164" t="s">
        <v>1237</v>
      </c>
      <c r="B164" t="s">
        <v>719</v>
      </c>
      <c r="D164" t="s">
        <v>291</v>
      </c>
      <c r="F164" s="57" t="s">
        <v>366</v>
      </c>
      <c r="G164" s="57" t="s">
        <v>768</v>
      </c>
      <c r="H164" s="57" t="s">
        <v>768</v>
      </c>
      <c r="I164" s="57" t="s">
        <v>768</v>
      </c>
      <c r="J164" s="57" t="s">
        <v>768</v>
      </c>
      <c r="K164" t="s">
        <v>250</v>
      </c>
      <c r="L164" t="s">
        <v>964</v>
      </c>
      <c r="M164" t="s">
        <v>720</v>
      </c>
      <c r="N164" s="58"/>
      <c r="O164" s="58"/>
      <c r="P164" s="58"/>
      <c r="Q164" s="59" t="str">
        <f ca="1">IF(Register[[#This Row],[Last Verified]]="","",TODAY()-Register[[#This Row],[Last Verified]])</f>
        <v/>
      </c>
      <c r="R16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4" t="s">
        <v>1238</v>
      </c>
    </row>
    <row r="165" spans="1:21" x14ac:dyDescent="0.25">
      <c r="A165" t="s">
        <v>1239</v>
      </c>
      <c r="B165" t="s">
        <v>719</v>
      </c>
      <c r="D165" t="s">
        <v>291</v>
      </c>
      <c r="F165" s="57" t="s">
        <v>367</v>
      </c>
      <c r="G165" s="57" t="s">
        <v>768</v>
      </c>
      <c r="H165" s="57" t="s">
        <v>768</v>
      </c>
      <c r="I165" s="57" t="s">
        <v>768</v>
      </c>
      <c r="J165" s="57" t="s">
        <v>768</v>
      </c>
      <c r="K165" t="s">
        <v>250</v>
      </c>
      <c r="L165" t="s">
        <v>964</v>
      </c>
      <c r="M165" t="s">
        <v>720</v>
      </c>
      <c r="N165" s="58"/>
      <c r="O165" s="58"/>
      <c r="P165" s="58"/>
      <c r="Q165" s="59" t="str">
        <f ca="1">IF(Register[[#This Row],[Last Verified]]="","",TODAY()-Register[[#This Row],[Last Verified]])</f>
        <v/>
      </c>
      <c r="R16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5" t="s">
        <v>1240</v>
      </c>
    </row>
    <row r="166" spans="1:21" x14ac:dyDescent="0.25">
      <c r="A166" t="s">
        <v>1241</v>
      </c>
      <c r="B166" t="s">
        <v>719</v>
      </c>
      <c r="C166" t="s">
        <v>368</v>
      </c>
      <c r="D166" t="s">
        <v>1130</v>
      </c>
      <c r="F166" s="57" t="s">
        <v>370</v>
      </c>
      <c r="G166" s="57" t="s">
        <v>369</v>
      </c>
      <c r="H166" s="57" t="s">
        <v>768</v>
      </c>
      <c r="I166" s="57" t="s">
        <v>768</v>
      </c>
      <c r="J166" s="57" t="s">
        <v>768</v>
      </c>
      <c r="K166" t="s">
        <v>250</v>
      </c>
      <c r="M166" t="s">
        <v>171</v>
      </c>
      <c r="N166" s="58"/>
      <c r="O166" s="58"/>
      <c r="P166" s="58"/>
      <c r="Q166" s="59" t="str">
        <f ca="1">IF(Register[[#This Row],[Last Verified]]="","",TODAY()-Register[[#This Row],[Last Verified]])</f>
        <v/>
      </c>
      <c r="R16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6" t="s">
        <v>1242</v>
      </c>
    </row>
    <row r="167" spans="1:21" x14ac:dyDescent="0.25">
      <c r="A167" t="s">
        <v>1243</v>
      </c>
      <c r="B167" t="s">
        <v>719</v>
      </c>
      <c r="D167" t="s">
        <v>1130</v>
      </c>
      <c r="E167" t="s">
        <v>1160</v>
      </c>
      <c r="F167" s="57" t="s">
        <v>371</v>
      </c>
      <c r="G167" s="57" t="s">
        <v>768</v>
      </c>
      <c r="H167" s="57" t="s">
        <v>768</v>
      </c>
      <c r="I167" s="57" t="s">
        <v>768</v>
      </c>
      <c r="J167" s="57" t="s">
        <v>768</v>
      </c>
      <c r="K167" t="s">
        <v>250</v>
      </c>
      <c r="M167" t="s">
        <v>171</v>
      </c>
      <c r="N167" s="58"/>
      <c r="O167" s="58"/>
      <c r="P167" s="58"/>
      <c r="Q167" s="59" t="str">
        <f ca="1">IF(Register[[#This Row],[Last Verified]]="","",TODAY()-Register[[#This Row],[Last Verified]])</f>
        <v/>
      </c>
      <c r="R16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7" t="s">
        <v>1244</v>
      </c>
    </row>
    <row r="168" spans="1:21" x14ac:dyDescent="0.25">
      <c r="A168" t="s">
        <v>1245</v>
      </c>
      <c r="B168" t="s">
        <v>719</v>
      </c>
      <c r="D168" t="s">
        <v>291</v>
      </c>
      <c r="F168" s="57" t="s">
        <v>372</v>
      </c>
      <c r="G168" s="57" t="s">
        <v>768</v>
      </c>
      <c r="H168" s="57" t="s">
        <v>768</v>
      </c>
      <c r="I168" s="57" t="s">
        <v>768</v>
      </c>
      <c r="J168" s="57" t="s">
        <v>768</v>
      </c>
      <c r="K168" t="s">
        <v>250</v>
      </c>
      <c r="M168" t="s">
        <v>171</v>
      </c>
      <c r="N168" s="58"/>
      <c r="O168" s="58"/>
      <c r="P168" s="58"/>
      <c r="Q168" s="59" t="str">
        <f ca="1">IF(Register[[#This Row],[Last Verified]]="","",TODAY()-Register[[#This Row],[Last Verified]])</f>
        <v/>
      </c>
      <c r="R16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8" t="s">
        <v>1246</v>
      </c>
    </row>
    <row r="169" spans="1:21" x14ac:dyDescent="0.25">
      <c r="A169" t="s">
        <v>1247</v>
      </c>
      <c r="B169" t="s">
        <v>719</v>
      </c>
      <c r="D169" t="s">
        <v>291</v>
      </c>
      <c r="F169" s="57" t="s">
        <v>373</v>
      </c>
      <c r="G169" s="57" t="s">
        <v>768</v>
      </c>
      <c r="H169" s="57" t="s">
        <v>768</v>
      </c>
      <c r="I169" s="57" t="s">
        <v>768</v>
      </c>
      <c r="J169" s="57" t="s">
        <v>768</v>
      </c>
      <c r="K169" t="s">
        <v>250</v>
      </c>
      <c r="M169" t="s">
        <v>171</v>
      </c>
      <c r="N169" s="58"/>
      <c r="O169" s="58"/>
      <c r="P169" s="58"/>
      <c r="Q169" s="59" t="str">
        <f ca="1">IF(Register[[#This Row],[Last Verified]]="","",TODAY()-Register[[#This Row],[Last Verified]])</f>
        <v/>
      </c>
      <c r="R16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69" t="s">
        <v>1248</v>
      </c>
    </row>
    <row r="170" spans="1:21" x14ac:dyDescent="0.25">
      <c r="A170" t="s">
        <v>1249</v>
      </c>
      <c r="B170" t="s">
        <v>719</v>
      </c>
      <c r="D170" t="s">
        <v>291</v>
      </c>
      <c r="F170" s="57" t="s">
        <v>374</v>
      </c>
      <c r="G170" s="57" t="s">
        <v>768</v>
      </c>
      <c r="H170" s="57" t="s">
        <v>768</v>
      </c>
      <c r="I170" s="57" t="s">
        <v>768</v>
      </c>
      <c r="J170" s="57" t="s">
        <v>768</v>
      </c>
      <c r="K170" t="s">
        <v>250</v>
      </c>
      <c r="M170" t="s">
        <v>171</v>
      </c>
      <c r="N170" s="58"/>
      <c r="O170" s="58"/>
      <c r="P170" s="58"/>
      <c r="Q170" s="59" t="str">
        <f ca="1">IF(Register[[#This Row],[Last Verified]]="","",TODAY()-Register[[#This Row],[Last Verified]])</f>
        <v/>
      </c>
      <c r="R17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0" t="s">
        <v>1250</v>
      </c>
    </row>
    <row r="171" spans="1:21" x14ac:dyDescent="0.25">
      <c r="A171" t="s">
        <v>1251</v>
      </c>
      <c r="B171" t="s">
        <v>719</v>
      </c>
      <c r="D171" t="s">
        <v>291</v>
      </c>
      <c r="F171" s="57" t="s">
        <v>375</v>
      </c>
      <c r="G171" s="57" t="s">
        <v>768</v>
      </c>
      <c r="H171" s="57" t="s">
        <v>768</v>
      </c>
      <c r="I171" s="57" t="s">
        <v>768</v>
      </c>
      <c r="J171" s="57" t="s">
        <v>768</v>
      </c>
      <c r="K171" t="s">
        <v>250</v>
      </c>
      <c r="M171" t="s">
        <v>171</v>
      </c>
      <c r="N171" s="58"/>
      <c r="O171" s="58"/>
      <c r="P171" s="58"/>
      <c r="Q171" s="59" t="str">
        <f ca="1">IF(Register[[#This Row],[Last Verified]]="","",TODAY()-Register[[#This Row],[Last Verified]])</f>
        <v/>
      </c>
      <c r="R17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1" t="s">
        <v>1252</v>
      </c>
    </row>
    <row r="172" spans="1:21" x14ac:dyDescent="0.25">
      <c r="A172" t="s">
        <v>1253</v>
      </c>
      <c r="B172" t="s">
        <v>719</v>
      </c>
      <c r="D172" t="s">
        <v>291</v>
      </c>
      <c r="F172" s="57" t="s">
        <v>376</v>
      </c>
      <c r="G172" s="57" t="s">
        <v>768</v>
      </c>
      <c r="H172" s="57" t="s">
        <v>768</v>
      </c>
      <c r="I172" s="57" t="s">
        <v>768</v>
      </c>
      <c r="J172" s="57" t="s">
        <v>768</v>
      </c>
      <c r="K172" t="s">
        <v>250</v>
      </c>
      <c r="M172" t="s">
        <v>171</v>
      </c>
      <c r="N172" s="58"/>
      <c r="O172" s="58"/>
      <c r="P172" s="58"/>
      <c r="Q172" s="59" t="str">
        <f ca="1">IF(Register[[#This Row],[Last Verified]]="","",TODAY()-Register[[#This Row],[Last Verified]])</f>
        <v/>
      </c>
      <c r="R17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2" t="s">
        <v>1254</v>
      </c>
    </row>
    <row r="173" spans="1:21" x14ac:dyDescent="0.25">
      <c r="A173" t="s">
        <v>1255</v>
      </c>
      <c r="B173" t="s">
        <v>719</v>
      </c>
      <c r="C173" t="s">
        <v>1256</v>
      </c>
      <c r="D173" t="s">
        <v>1130</v>
      </c>
      <c r="F173" s="57" t="s">
        <v>379</v>
      </c>
      <c r="G173" s="57" t="s">
        <v>378</v>
      </c>
      <c r="H173" s="57" t="s">
        <v>768</v>
      </c>
      <c r="I173" s="57" t="s">
        <v>768</v>
      </c>
      <c r="J173" s="57" t="s">
        <v>768</v>
      </c>
      <c r="K173" t="s">
        <v>380</v>
      </c>
      <c r="M173" t="s">
        <v>721</v>
      </c>
      <c r="N173" s="58"/>
      <c r="O173" s="58"/>
      <c r="P173" s="58"/>
      <c r="Q173" s="59" t="str">
        <f ca="1">IF(Register[[#This Row],[Last Verified]]="","",TODAY()-Register[[#This Row],[Last Verified]])</f>
        <v/>
      </c>
      <c r="R17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3" t="s">
        <v>1257</v>
      </c>
    </row>
    <row r="174" spans="1:21" x14ac:dyDescent="0.25">
      <c r="A174" t="s">
        <v>1258</v>
      </c>
      <c r="B174" t="s">
        <v>719</v>
      </c>
      <c r="D174" t="s">
        <v>291</v>
      </c>
      <c r="F174" s="57" t="s">
        <v>381</v>
      </c>
      <c r="G174" s="57" t="s">
        <v>768</v>
      </c>
      <c r="H174" s="57" t="s">
        <v>768</v>
      </c>
      <c r="I174" s="57" t="s">
        <v>768</v>
      </c>
      <c r="J174" s="57" t="s">
        <v>768</v>
      </c>
      <c r="K174" t="s">
        <v>383</v>
      </c>
      <c r="M174" t="s">
        <v>720</v>
      </c>
      <c r="N174" s="58"/>
      <c r="O174" s="58"/>
      <c r="P174" s="58"/>
      <c r="Q174" s="59" t="str">
        <f ca="1">IF(Register[[#This Row],[Last Verified]]="","",TODAY()-Register[[#This Row],[Last Verified]])</f>
        <v/>
      </c>
      <c r="R17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4" t="s">
        <v>1259</v>
      </c>
    </row>
    <row r="175" spans="1:21" x14ac:dyDescent="0.25">
      <c r="A175" t="s">
        <v>1260</v>
      </c>
      <c r="B175" t="s">
        <v>719</v>
      </c>
      <c r="D175" t="s">
        <v>291</v>
      </c>
      <c r="F175" s="57" t="s">
        <v>384</v>
      </c>
      <c r="G175" s="57" t="s">
        <v>768</v>
      </c>
      <c r="H175" s="57" t="s">
        <v>768</v>
      </c>
      <c r="I175" s="57" t="s">
        <v>768</v>
      </c>
      <c r="J175" s="57" t="s">
        <v>768</v>
      </c>
      <c r="K175" t="s">
        <v>383</v>
      </c>
      <c r="M175" t="s">
        <v>720</v>
      </c>
      <c r="N175" s="58"/>
      <c r="O175" s="58"/>
      <c r="P175" s="58"/>
      <c r="Q175" s="59" t="str">
        <f ca="1">IF(Register[[#This Row],[Last Verified]]="","",TODAY()-Register[[#This Row],[Last Verified]])</f>
        <v/>
      </c>
      <c r="R17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5" t="s">
        <v>1261</v>
      </c>
    </row>
    <row r="176" spans="1:21" x14ac:dyDescent="0.25">
      <c r="A176" t="s">
        <v>1262</v>
      </c>
      <c r="B176" t="s">
        <v>719</v>
      </c>
      <c r="D176" t="s">
        <v>291</v>
      </c>
      <c r="F176" s="57" t="s">
        <v>385</v>
      </c>
      <c r="G176" s="57" t="s">
        <v>768</v>
      </c>
      <c r="H176" s="57" t="s">
        <v>768</v>
      </c>
      <c r="I176" s="57" t="s">
        <v>768</v>
      </c>
      <c r="J176" s="57" t="s">
        <v>768</v>
      </c>
      <c r="K176" t="s">
        <v>383</v>
      </c>
      <c r="M176" t="s">
        <v>720</v>
      </c>
      <c r="N176" s="58"/>
      <c r="O176" s="58"/>
      <c r="P176" s="58"/>
      <c r="Q176" s="59" t="str">
        <f ca="1">IF(Register[[#This Row],[Last Verified]]="","",TODAY()-Register[[#This Row],[Last Verified]])</f>
        <v/>
      </c>
      <c r="R17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6" t="s">
        <v>1263</v>
      </c>
    </row>
    <row r="177" spans="1:21" x14ac:dyDescent="0.25">
      <c r="A177" t="s">
        <v>1264</v>
      </c>
      <c r="B177" t="s">
        <v>719</v>
      </c>
      <c r="D177" t="s">
        <v>291</v>
      </c>
      <c r="F177" s="57" t="s">
        <v>386</v>
      </c>
      <c r="G177" s="57" t="s">
        <v>768</v>
      </c>
      <c r="H177" s="57" t="s">
        <v>768</v>
      </c>
      <c r="I177" s="57" t="s">
        <v>768</v>
      </c>
      <c r="J177" s="57" t="s">
        <v>768</v>
      </c>
      <c r="K177" t="s">
        <v>383</v>
      </c>
      <c r="M177" t="s">
        <v>720</v>
      </c>
      <c r="N177" s="58"/>
      <c r="O177" s="58"/>
      <c r="P177" s="58"/>
      <c r="Q177" s="59" t="str">
        <f ca="1">IF(Register[[#This Row],[Last Verified]]="","",TODAY()-Register[[#This Row],[Last Verified]])</f>
        <v/>
      </c>
      <c r="R17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7" t="s">
        <v>1265</v>
      </c>
    </row>
    <row r="178" spans="1:21" x14ac:dyDescent="0.25">
      <c r="A178" t="s">
        <v>1266</v>
      </c>
      <c r="B178" t="s">
        <v>719</v>
      </c>
      <c r="D178" t="s">
        <v>291</v>
      </c>
      <c r="F178" s="57" t="s">
        <v>387</v>
      </c>
      <c r="G178" s="57" t="s">
        <v>768</v>
      </c>
      <c r="H178" s="57" t="s">
        <v>768</v>
      </c>
      <c r="I178" s="57" t="s">
        <v>768</v>
      </c>
      <c r="J178" s="57" t="s">
        <v>768</v>
      </c>
      <c r="K178" t="s">
        <v>383</v>
      </c>
      <c r="M178" t="s">
        <v>720</v>
      </c>
      <c r="N178" s="58"/>
      <c r="O178" s="58"/>
      <c r="P178" s="58"/>
      <c r="Q178" s="59" t="str">
        <f ca="1">IF(Register[[#This Row],[Last Verified]]="","",TODAY()-Register[[#This Row],[Last Verified]])</f>
        <v/>
      </c>
      <c r="R17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8" t="s">
        <v>1267</v>
      </c>
    </row>
    <row r="179" spans="1:21" x14ac:dyDescent="0.25">
      <c r="A179" t="s">
        <v>1268</v>
      </c>
      <c r="B179" t="s">
        <v>719</v>
      </c>
      <c r="D179" t="s">
        <v>291</v>
      </c>
      <c r="F179" s="57" t="s">
        <v>388</v>
      </c>
      <c r="G179" s="57" t="s">
        <v>768</v>
      </c>
      <c r="H179" s="57" t="s">
        <v>768</v>
      </c>
      <c r="I179" s="57" t="s">
        <v>768</v>
      </c>
      <c r="J179" s="57" t="s">
        <v>768</v>
      </c>
      <c r="K179" t="s">
        <v>383</v>
      </c>
      <c r="M179" t="s">
        <v>720</v>
      </c>
      <c r="N179" s="58"/>
      <c r="O179" s="58"/>
      <c r="P179" s="58"/>
      <c r="Q179" s="59" t="str">
        <f ca="1">IF(Register[[#This Row],[Last Verified]]="","",TODAY()-Register[[#This Row],[Last Verified]])</f>
        <v/>
      </c>
      <c r="R17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79" t="s">
        <v>1269</v>
      </c>
    </row>
    <row r="180" spans="1:21" x14ac:dyDescent="0.25">
      <c r="A180" t="s">
        <v>1270</v>
      </c>
      <c r="B180" t="s">
        <v>719</v>
      </c>
      <c r="D180" t="s">
        <v>291</v>
      </c>
      <c r="F180" s="57" t="s">
        <v>389</v>
      </c>
      <c r="G180" s="57" t="s">
        <v>768</v>
      </c>
      <c r="H180" s="57" t="s">
        <v>768</v>
      </c>
      <c r="I180" s="57" t="s">
        <v>768</v>
      </c>
      <c r="J180" s="57" t="s">
        <v>768</v>
      </c>
      <c r="K180" t="s">
        <v>383</v>
      </c>
      <c r="M180" t="s">
        <v>720</v>
      </c>
      <c r="N180" s="58"/>
      <c r="O180" s="58"/>
      <c r="P180" s="58"/>
      <c r="Q180" s="59" t="str">
        <f ca="1">IF(Register[[#This Row],[Last Verified]]="","",TODAY()-Register[[#This Row],[Last Verified]])</f>
        <v/>
      </c>
      <c r="R18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0" t="s">
        <v>1271</v>
      </c>
    </row>
    <row r="181" spans="1:21" x14ac:dyDescent="0.25">
      <c r="A181" t="s">
        <v>1272</v>
      </c>
      <c r="B181" t="s">
        <v>719</v>
      </c>
      <c r="D181" t="s">
        <v>291</v>
      </c>
      <c r="F181" s="57" t="s">
        <v>390</v>
      </c>
      <c r="G181" s="57" t="s">
        <v>768</v>
      </c>
      <c r="H181" s="57" t="s">
        <v>768</v>
      </c>
      <c r="I181" s="57" t="s">
        <v>768</v>
      </c>
      <c r="J181" s="57" t="s">
        <v>768</v>
      </c>
      <c r="K181" t="s">
        <v>383</v>
      </c>
      <c r="M181" t="s">
        <v>720</v>
      </c>
      <c r="N181" s="58"/>
      <c r="O181" s="58"/>
      <c r="P181" s="58"/>
      <c r="Q181" s="59" t="str">
        <f ca="1">IF(Register[[#This Row],[Last Verified]]="","",TODAY()-Register[[#This Row],[Last Verified]])</f>
        <v/>
      </c>
      <c r="R18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1" t="s">
        <v>1273</v>
      </c>
    </row>
    <row r="182" spans="1:21" x14ac:dyDescent="0.25">
      <c r="A182" t="s">
        <v>1274</v>
      </c>
      <c r="B182" t="s">
        <v>719</v>
      </c>
      <c r="D182" t="s">
        <v>291</v>
      </c>
      <c r="F182" s="57" t="s">
        <v>391</v>
      </c>
      <c r="G182" s="57" t="s">
        <v>768</v>
      </c>
      <c r="H182" s="57" t="s">
        <v>768</v>
      </c>
      <c r="I182" s="57" t="s">
        <v>768</v>
      </c>
      <c r="J182" s="57" t="s">
        <v>768</v>
      </c>
      <c r="K182" t="s">
        <v>383</v>
      </c>
      <c r="M182" t="s">
        <v>720</v>
      </c>
      <c r="N182" s="58"/>
      <c r="O182" s="58"/>
      <c r="P182" s="58"/>
      <c r="Q182" s="59" t="str">
        <f ca="1">IF(Register[[#This Row],[Last Verified]]="","",TODAY()-Register[[#This Row],[Last Verified]])</f>
        <v/>
      </c>
      <c r="R18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2" t="s">
        <v>1275</v>
      </c>
    </row>
    <row r="183" spans="1:21" x14ac:dyDescent="0.25">
      <c r="A183" t="s">
        <v>1276</v>
      </c>
      <c r="B183" t="s">
        <v>719</v>
      </c>
      <c r="D183" t="s">
        <v>291</v>
      </c>
      <c r="F183" s="57" t="s">
        <v>392</v>
      </c>
      <c r="G183" s="57" t="s">
        <v>768</v>
      </c>
      <c r="H183" s="57" t="s">
        <v>768</v>
      </c>
      <c r="I183" s="57" t="s">
        <v>768</v>
      </c>
      <c r="J183" s="57" t="s">
        <v>768</v>
      </c>
      <c r="K183" t="s">
        <v>383</v>
      </c>
      <c r="M183" t="s">
        <v>720</v>
      </c>
      <c r="N183" s="58"/>
      <c r="O183" s="58"/>
      <c r="P183" s="58"/>
      <c r="Q183" s="59" t="str">
        <f ca="1">IF(Register[[#This Row],[Last Verified]]="","",TODAY()-Register[[#This Row],[Last Verified]])</f>
        <v/>
      </c>
      <c r="R18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3" t="s">
        <v>1277</v>
      </c>
    </row>
    <row r="184" spans="1:21" x14ac:dyDescent="0.25">
      <c r="A184" t="s">
        <v>1278</v>
      </c>
      <c r="B184" t="s">
        <v>719</v>
      </c>
      <c r="C184" t="s">
        <v>284</v>
      </c>
      <c r="D184" t="s">
        <v>1130</v>
      </c>
      <c r="E184" t="s">
        <v>1160</v>
      </c>
      <c r="F184" s="57" t="s">
        <v>394</v>
      </c>
      <c r="G184" s="57" t="s">
        <v>393</v>
      </c>
      <c r="H184" s="57" t="s">
        <v>768</v>
      </c>
      <c r="I184" s="57" t="s">
        <v>768</v>
      </c>
      <c r="J184" s="57" t="s">
        <v>768</v>
      </c>
      <c r="K184" t="s">
        <v>250</v>
      </c>
      <c r="M184" t="s">
        <v>720</v>
      </c>
      <c r="N184" s="58"/>
      <c r="O184" s="58"/>
      <c r="P184" s="58"/>
      <c r="Q184" s="59" t="str">
        <f ca="1">IF(Register[[#This Row],[Last Verified]]="","",TODAY()-Register[[#This Row],[Last Verified]])</f>
        <v/>
      </c>
      <c r="R18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4" t="s">
        <v>1279</v>
      </c>
    </row>
    <row r="185" spans="1:21" x14ac:dyDescent="0.25">
      <c r="A185" t="s">
        <v>1280</v>
      </c>
      <c r="B185" t="s">
        <v>719</v>
      </c>
      <c r="C185" t="s">
        <v>284</v>
      </c>
      <c r="D185" t="s">
        <v>1130</v>
      </c>
      <c r="E185" t="s">
        <v>1160</v>
      </c>
      <c r="F185" s="57" t="s">
        <v>396</v>
      </c>
      <c r="G185" s="57" t="s">
        <v>395</v>
      </c>
      <c r="H185" s="57" t="s">
        <v>768</v>
      </c>
      <c r="I185" s="57" t="s">
        <v>768</v>
      </c>
      <c r="J185" s="57" t="s">
        <v>768</v>
      </c>
      <c r="K185" t="s">
        <v>250</v>
      </c>
      <c r="M185" t="s">
        <v>721</v>
      </c>
      <c r="N185" s="58"/>
      <c r="O185" s="58"/>
      <c r="P185" s="58"/>
      <c r="Q185" s="59" t="str">
        <f ca="1">IF(Register[[#This Row],[Last Verified]]="","",TODAY()-Register[[#This Row],[Last Verified]])</f>
        <v/>
      </c>
      <c r="R18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185" t="s">
        <v>1281</v>
      </c>
      <c r="U185" t="s">
        <v>1282</v>
      </c>
    </row>
    <row r="186" spans="1:21" x14ac:dyDescent="0.25">
      <c r="A186" t="s">
        <v>1283</v>
      </c>
      <c r="B186" t="s">
        <v>719</v>
      </c>
      <c r="C186" t="s">
        <v>284</v>
      </c>
      <c r="D186" t="s">
        <v>1130</v>
      </c>
      <c r="E186" t="s">
        <v>1160</v>
      </c>
      <c r="F186" s="57" t="s">
        <v>400</v>
      </c>
      <c r="G186" s="57" t="s">
        <v>399</v>
      </c>
      <c r="H186" s="57" t="s">
        <v>768</v>
      </c>
      <c r="I186" s="57" t="s">
        <v>768</v>
      </c>
      <c r="J186" s="57" t="s">
        <v>768</v>
      </c>
      <c r="K186" t="s">
        <v>250</v>
      </c>
      <c r="L186" t="s">
        <v>964</v>
      </c>
      <c r="M186" t="s">
        <v>720</v>
      </c>
      <c r="N186" s="58">
        <v>45822</v>
      </c>
      <c r="O186" s="58"/>
      <c r="P186" s="58"/>
      <c r="Q186" s="59" t="str">
        <f ca="1">IF(Register[[#This Row],[Last Verified]]="","",TODAY()-Register[[#This Row],[Last Verified]])</f>
        <v/>
      </c>
      <c r="R18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6" t="s">
        <v>1284</v>
      </c>
    </row>
    <row r="187" spans="1:21" x14ac:dyDescent="0.25">
      <c r="A187" t="s">
        <v>1285</v>
      </c>
      <c r="B187" t="s">
        <v>719</v>
      </c>
      <c r="C187" t="s">
        <v>284</v>
      </c>
      <c r="D187" t="s">
        <v>1130</v>
      </c>
      <c r="E187" t="s">
        <v>1160</v>
      </c>
      <c r="F187" s="57" t="s">
        <v>403</v>
      </c>
      <c r="G187" s="57" t="s">
        <v>402</v>
      </c>
      <c r="H187" s="57" t="s">
        <v>768</v>
      </c>
      <c r="I187" s="57" t="s">
        <v>768</v>
      </c>
      <c r="J187" s="57" t="s">
        <v>768</v>
      </c>
      <c r="K187" t="s">
        <v>250</v>
      </c>
      <c r="L187" t="s">
        <v>964</v>
      </c>
      <c r="M187" t="s">
        <v>720</v>
      </c>
      <c r="N187" s="58">
        <v>45822</v>
      </c>
      <c r="O187" s="58"/>
      <c r="P187" s="58"/>
      <c r="Q187" s="59" t="str">
        <f ca="1">IF(Register[[#This Row],[Last Verified]]="","",TODAY()-Register[[#This Row],[Last Verified]])</f>
        <v/>
      </c>
      <c r="R18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7" t="s">
        <v>1286</v>
      </c>
    </row>
    <row r="188" spans="1:21" x14ac:dyDescent="0.25">
      <c r="A188" t="s">
        <v>1287</v>
      </c>
      <c r="B188" t="s">
        <v>719</v>
      </c>
      <c r="C188" t="s">
        <v>284</v>
      </c>
      <c r="D188" t="s">
        <v>1130</v>
      </c>
      <c r="E188" t="s">
        <v>1160</v>
      </c>
      <c r="F188" s="57" t="s">
        <v>405</v>
      </c>
      <c r="G188" s="57" t="s">
        <v>404</v>
      </c>
      <c r="H188" s="57" t="s">
        <v>768</v>
      </c>
      <c r="I188" s="57" t="s">
        <v>768</v>
      </c>
      <c r="J188" s="57" t="s">
        <v>768</v>
      </c>
      <c r="K188" t="s">
        <v>250</v>
      </c>
      <c r="M188" t="s">
        <v>721</v>
      </c>
      <c r="N188" s="58"/>
      <c r="O188" s="58"/>
      <c r="P188" s="58"/>
      <c r="Q188" s="59" t="str">
        <f ca="1">IF(Register[[#This Row],[Last Verified]]="","",TODAY()-Register[[#This Row],[Last Verified]])</f>
        <v/>
      </c>
      <c r="R18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8" t="s">
        <v>1288</v>
      </c>
    </row>
    <row r="189" spans="1:21" x14ac:dyDescent="0.25">
      <c r="A189" t="s">
        <v>1289</v>
      </c>
      <c r="B189" t="s">
        <v>719</v>
      </c>
      <c r="C189" t="s">
        <v>284</v>
      </c>
      <c r="D189" t="s">
        <v>1130</v>
      </c>
      <c r="E189" t="s">
        <v>1160</v>
      </c>
      <c r="F189" s="57" t="s">
        <v>407</v>
      </c>
      <c r="G189" s="57" t="s">
        <v>406</v>
      </c>
      <c r="H189" s="57" t="s">
        <v>768</v>
      </c>
      <c r="I189" s="57" t="s">
        <v>768</v>
      </c>
      <c r="J189" s="57" t="s">
        <v>768</v>
      </c>
      <c r="K189" t="s">
        <v>250</v>
      </c>
      <c r="M189" t="s">
        <v>721</v>
      </c>
      <c r="N189" s="58"/>
      <c r="O189" s="58"/>
      <c r="P189" s="58"/>
      <c r="Q189" s="59" t="str">
        <f ca="1">IF(Register[[#This Row],[Last Verified]]="","",TODAY()-Register[[#This Row],[Last Verified]])</f>
        <v/>
      </c>
      <c r="R18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89" t="s">
        <v>1290</v>
      </c>
    </row>
    <row r="190" spans="1:21" x14ac:dyDescent="0.25">
      <c r="A190" t="s">
        <v>1291</v>
      </c>
      <c r="B190" t="s">
        <v>719</v>
      </c>
      <c r="C190" t="s">
        <v>284</v>
      </c>
      <c r="D190" t="s">
        <v>1130</v>
      </c>
      <c r="E190" t="s">
        <v>1160</v>
      </c>
      <c r="F190" s="57" t="s">
        <v>409</v>
      </c>
      <c r="G190" s="57" t="s">
        <v>408</v>
      </c>
      <c r="H190" s="57" t="s">
        <v>768</v>
      </c>
      <c r="I190" s="57" t="s">
        <v>768</v>
      </c>
      <c r="J190" s="57" t="s">
        <v>768</v>
      </c>
      <c r="K190" t="s">
        <v>411</v>
      </c>
      <c r="L190" t="s">
        <v>956</v>
      </c>
      <c r="M190" t="s">
        <v>720</v>
      </c>
      <c r="N190" s="58">
        <v>45822</v>
      </c>
      <c r="O190" s="58"/>
      <c r="P190" s="58"/>
      <c r="Q190" s="59" t="str">
        <f ca="1">IF(Register[[#This Row],[Last Verified]]="","",TODAY()-Register[[#This Row],[Last Verified]])</f>
        <v/>
      </c>
      <c r="R19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0" t="s">
        <v>1292</v>
      </c>
    </row>
    <row r="191" spans="1:21" x14ac:dyDescent="0.25">
      <c r="A191" t="s">
        <v>1293</v>
      </c>
      <c r="B191" t="s">
        <v>719</v>
      </c>
      <c r="C191" t="s">
        <v>284</v>
      </c>
      <c r="D191" t="s">
        <v>1130</v>
      </c>
      <c r="E191" t="s">
        <v>1160</v>
      </c>
      <c r="F191" s="57" t="s">
        <v>413</v>
      </c>
      <c r="G191" s="57" t="s">
        <v>412</v>
      </c>
      <c r="H191" s="57" t="s">
        <v>768</v>
      </c>
      <c r="I191" s="57" t="s">
        <v>768</v>
      </c>
      <c r="J191" s="57" t="s">
        <v>768</v>
      </c>
      <c r="K191" t="s">
        <v>411</v>
      </c>
      <c r="L191" t="s">
        <v>956</v>
      </c>
      <c r="M191" t="s">
        <v>720</v>
      </c>
      <c r="N191" s="58">
        <v>45822</v>
      </c>
      <c r="O191" s="58"/>
      <c r="P191" s="58"/>
      <c r="Q191" s="59" t="str">
        <f ca="1">IF(Register[[#This Row],[Last Verified]]="","",TODAY()-Register[[#This Row],[Last Verified]])</f>
        <v/>
      </c>
      <c r="R19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1" t="s">
        <v>1294</v>
      </c>
    </row>
    <row r="192" spans="1:21" x14ac:dyDescent="0.25">
      <c r="A192" t="s">
        <v>1295</v>
      </c>
      <c r="B192" t="s">
        <v>719</v>
      </c>
      <c r="C192" t="s">
        <v>284</v>
      </c>
      <c r="D192" t="s">
        <v>1130</v>
      </c>
      <c r="E192" t="s">
        <v>1160</v>
      </c>
      <c r="F192" s="57" t="s">
        <v>415</v>
      </c>
      <c r="G192" s="57" t="s">
        <v>414</v>
      </c>
      <c r="H192" s="57" t="s">
        <v>768</v>
      </c>
      <c r="I192" s="57" t="s">
        <v>768</v>
      </c>
      <c r="J192" s="57" t="s">
        <v>768</v>
      </c>
      <c r="K192" t="s">
        <v>250</v>
      </c>
      <c r="M192" t="s">
        <v>721</v>
      </c>
      <c r="N192" s="58"/>
      <c r="O192" s="58"/>
      <c r="P192" s="58"/>
      <c r="Q192" s="59" t="str">
        <f ca="1">IF(Register[[#This Row],[Last Verified]]="","",TODAY()-Register[[#This Row],[Last Verified]])</f>
        <v/>
      </c>
      <c r="R19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2" t="s">
        <v>1296</v>
      </c>
    </row>
    <row r="193" spans="1:21" x14ac:dyDescent="0.25">
      <c r="A193" t="s">
        <v>1297</v>
      </c>
      <c r="B193" t="s">
        <v>719</v>
      </c>
      <c r="C193" t="s">
        <v>284</v>
      </c>
      <c r="D193" t="s">
        <v>1130</v>
      </c>
      <c r="E193" t="s">
        <v>1160</v>
      </c>
      <c r="F193" s="57" t="s">
        <v>417</v>
      </c>
      <c r="G193" s="57" t="s">
        <v>416</v>
      </c>
      <c r="H193" s="57" t="s">
        <v>768</v>
      </c>
      <c r="I193" s="57" t="s">
        <v>768</v>
      </c>
      <c r="J193" s="57" t="s">
        <v>768</v>
      </c>
      <c r="K193" t="s">
        <v>411</v>
      </c>
      <c r="L193" t="s">
        <v>956</v>
      </c>
      <c r="M193" t="s">
        <v>720</v>
      </c>
      <c r="N193" s="58">
        <v>45822</v>
      </c>
      <c r="O193" s="58"/>
      <c r="P193" s="58"/>
      <c r="Q193" s="59" t="str">
        <f ca="1">IF(Register[[#This Row],[Last Verified]]="","",TODAY()-Register[[#This Row],[Last Verified]])</f>
        <v/>
      </c>
      <c r="R19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3" t="s">
        <v>1298</v>
      </c>
    </row>
    <row r="194" spans="1:21" x14ac:dyDescent="0.25">
      <c r="A194" t="s">
        <v>1299</v>
      </c>
      <c r="B194" t="s">
        <v>719</v>
      </c>
      <c r="C194" t="s">
        <v>284</v>
      </c>
      <c r="D194" t="s">
        <v>1130</v>
      </c>
      <c r="E194" t="s">
        <v>1160</v>
      </c>
      <c r="F194" s="57" t="s">
        <v>419</v>
      </c>
      <c r="G194" s="57" t="s">
        <v>418</v>
      </c>
      <c r="H194" s="57" t="s">
        <v>768</v>
      </c>
      <c r="I194" s="57" t="s">
        <v>768</v>
      </c>
      <c r="J194" s="57" t="s">
        <v>768</v>
      </c>
      <c r="K194" t="s">
        <v>250</v>
      </c>
      <c r="L194" t="s">
        <v>964</v>
      </c>
      <c r="M194" t="s">
        <v>720</v>
      </c>
      <c r="N194" s="58">
        <v>45822</v>
      </c>
      <c r="O194" s="58"/>
      <c r="P194" s="58"/>
      <c r="Q194" s="59" t="str">
        <f ca="1">IF(Register[[#This Row],[Last Verified]]="","",TODAY()-Register[[#This Row],[Last Verified]])</f>
        <v/>
      </c>
      <c r="R19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4" t="s">
        <v>1300</v>
      </c>
    </row>
    <row r="195" spans="1:21" x14ac:dyDescent="0.25">
      <c r="A195" t="s">
        <v>1301</v>
      </c>
      <c r="B195" t="s">
        <v>719</v>
      </c>
      <c r="C195" t="s">
        <v>284</v>
      </c>
      <c r="D195" t="s">
        <v>1130</v>
      </c>
      <c r="E195" t="s">
        <v>1160</v>
      </c>
      <c r="F195" s="57" t="s">
        <v>421</v>
      </c>
      <c r="G195" s="57" t="s">
        <v>420</v>
      </c>
      <c r="H195" s="57" t="s">
        <v>768</v>
      </c>
      <c r="I195" s="57" t="s">
        <v>768</v>
      </c>
      <c r="J195" s="57" t="s">
        <v>768</v>
      </c>
      <c r="K195" t="s">
        <v>250</v>
      </c>
      <c r="L195" t="s">
        <v>964</v>
      </c>
      <c r="M195" t="s">
        <v>720</v>
      </c>
      <c r="N195" s="58">
        <v>45822</v>
      </c>
      <c r="O195" s="58"/>
      <c r="P195" s="58"/>
      <c r="Q195" s="59" t="str">
        <f ca="1">IF(Register[[#This Row],[Last Verified]]="","",TODAY()-Register[[#This Row],[Last Verified]])</f>
        <v/>
      </c>
      <c r="R19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5" t="s">
        <v>1302</v>
      </c>
    </row>
    <row r="196" spans="1:21" x14ac:dyDescent="0.25">
      <c r="A196" t="s">
        <v>1303</v>
      </c>
      <c r="B196" t="s">
        <v>719</v>
      </c>
      <c r="C196" t="s">
        <v>284</v>
      </c>
      <c r="D196" t="s">
        <v>1130</v>
      </c>
      <c r="E196" t="s">
        <v>1160</v>
      </c>
      <c r="F196" s="57" t="s">
        <v>423</v>
      </c>
      <c r="G196" s="57" t="s">
        <v>422</v>
      </c>
      <c r="H196" s="57" t="s">
        <v>768</v>
      </c>
      <c r="I196" s="57" t="s">
        <v>768</v>
      </c>
      <c r="J196" s="57" t="s">
        <v>768</v>
      </c>
      <c r="K196" t="s">
        <v>250</v>
      </c>
      <c r="L196" t="s">
        <v>964</v>
      </c>
      <c r="M196" t="s">
        <v>720</v>
      </c>
      <c r="N196" s="58">
        <v>45822</v>
      </c>
      <c r="O196" s="58"/>
      <c r="P196" s="58"/>
      <c r="Q196" s="59" t="str">
        <f ca="1">IF(Register[[#This Row],[Last Verified]]="","",TODAY()-Register[[#This Row],[Last Verified]])</f>
        <v/>
      </c>
      <c r="R19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6" t="s">
        <v>1304</v>
      </c>
    </row>
    <row r="197" spans="1:21" x14ac:dyDescent="0.25">
      <c r="A197" t="s">
        <v>1305</v>
      </c>
      <c r="B197" t="s">
        <v>719</v>
      </c>
      <c r="C197" t="s">
        <v>284</v>
      </c>
      <c r="D197" t="s">
        <v>1130</v>
      </c>
      <c r="E197" t="s">
        <v>1160</v>
      </c>
      <c r="F197" s="57" t="s">
        <v>425</v>
      </c>
      <c r="G197" s="57" t="s">
        <v>424</v>
      </c>
      <c r="H197" s="57" t="s">
        <v>768</v>
      </c>
      <c r="I197" s="57" t="s">
        <v>768</v>
      </c>
      <c r="J197" s="57" t="s">
        <v>768</v>
      </c>
      <c r="K197" t="s">
        <v>411</v>
      </c>
      <c r="L197" t="s">
        <v>956</v>
      </c>
      <c r="M197" t="s">
        <v>720</v>
      </c>
      <c r="N197" s="58">
        <v>45822</v>
      </c>
      <c r="O197" s="58"/>
      <c r="P197" s="58"/>
      <c r="Q197" s="59" t="str">
        <f ca="1">IF(Register[[#This Row],[Last Verified]]="","",TODAY()-Register[[#This Row],[Last Verified]])</f>
        <v/>
      </c>
      <c r="R19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7" t="s">
        <v>1306</v>
      </c>
    </row>
    <row r="198" spans="1:21" x14ac:dyDescent="0.25">
      <c r="A198" t="s">
        <v>1307</v>
      </c>
      <c r="B198" t="s">
        <v>719</v>
      </c>
      <c r="C198" t="s">
        <v>284</v>
      </c>
      <c r="D198" t="s">
        <v>1130</v>
      </c>
      <c r="E198" t="s">
        <v>1160</v>
      </c>
      <c r="F198" s="57" t="s">
        <v>427</v>
      </c>
      <c r="G198" s="57" t="s">
        <v>426</v>
      </c>
      <c r="H198" s="57" t="s">
        <v>768</v>
      </c>
      <c r="I198" s="57" t="s">
        <v>768</v>
      </c>
      <c r="J198" s="57" t="s">
        <v>768</v>
      </c>
      <c r="K198" t="s">
        <v>250</v>
      </c>
      <c r="M198" t="s">
        <v>721</v>
      </c>
      <c r="N198" s="58"/>
      <c r="O198" s="58"/>
      <c r="P198" s="58"/>
      <c r="Q198" s="59" t="str">
        <f ca="1">IF(Register[[#This Row],[Last Verified]]="","",TODAY()-Register[[#This Row],[Last Verified]])</f>
        <v/>
      </c>
      <c r="R19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8" t="s">
        <v>1308</v>
      </c>
    </row>
    <row r="199" spans="1:21" x14ac:dyDescent="0.25">
      <c r="A199" t="s">
        <v>1309</v>
      </c>
      <c r="B199" t="s">
        <v>719</v>
      </c>
      <c r="C199" t="s">
        <v>284</v>
      </c>
      <c r="D199" t="s">
        <v>1130</v>
      </c>
      <c r="E199" t="s">
        <v>1160</v>
      </c>
      <c r="F199" s="57" t="s">
        <v>429</v>
      </c>
      <c r="G199" s="57" t="s">
        <v>428</v>
      </c>
      <c r="H199" s="57" t="s">
        <v>768</v>
      </c>
      <c r="I199" s="57" t="s">
        <v>768</v>
      </c>
      <c r="J199" s="57" t="s">
        <v>768</v>
      </c>
      <c r="K199" t="s">
        <v>250</v>
      </c>
      <c r="M199" t="s">
        <v>721</v>
      </c>
      <c r="N199" s="58"/>
      <c r="O199" s="58"/>
      <c r="P199" s="58"/>
      <c r="Q199" s="59" t="str">
        <f ca="1">IF(Register[[#This Row],[Last Verified]]="","",TODAY()-Register[[#This Row],[Last Verified]])</f>
        <v/>
      </c>
      <c r="R19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199" t="s">
        <v>1310</v>
      </c>
    </row>
    <row r="200" spans="1:21" x14ac:dyDescent="0.25">
      <c r="A200" t="s">
        <v>1311</v>
      </c>
      <c r="B200" t="s">
        <v>719</v>
      </c>
      <c r="C200" t="s">
        <v>284</v>
      </c>
      <c r="D200" t="s">
        <v>1130</v>
      </c>
      <c r="E200" t="s">
        <v>1160</v>
      </c>
      <c r="F200" s="57" t="s">
        <v>431</v>
      </c>
      <c r="G200" s="57" t="s">
        <v>430</v>
      </c>
      <c r="H200" s="57" t="s">
        <v>768</v>
      </c>
      <c r="I200" s="57" t="s">
        <v>768</v>
      </c>
      <c r="J200" s="57" t="s">
        <v>768</v>
      </c>
      <c r="K200" t="s">
        <v>250</v>
      </c>
      <c r="M200" t="s">
        <v>721</v>
      </c>
      <c r="N200" s="58"/>
      <c r="O200" s="58"/>
      <c r="P200" s="58"/>
      <c r="Q200" s="59" t="str">
        <f ca="1">IF(Register[[#This Row],[Last Verified]]="","",TODAY()-Register[[#This Row],[Last Verified]])</f>
        <v/>
      </c>
      <c r="R20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0" t="s">
        <v>1312</v>
      </c>
    </row>
    <row r="201" spans="1:21" x14ac:dyDescent="0.25">
      <c r="A201" t="s">
        <v>1313</v>
      </c>
      <c r="B201" t="s">
        <v>719</v>
      </c>
      <c r="C201" t="s">
        <v>284</v>
      </c>
      <c r="D201" t="s">
        <v>1130</v>
      </c>
      <c r="E201" t="s">
        <v>1160</v>
      </c>
      <c r="F201" s="57" t="s">
        <v>433</v>
      </c>
      <c r="G201" s="57" t="s">
        <v>432</v>
      </c>
      <c r="H201" s="57" t="s">
        <v>768</v>
      </c>
      <c r="I201" s="57" t="s">
        <v>768</v>
      </c>
      <c r="J201" s="57" t="s">
        <v>768</v>
      </c>
      <c r="K201" t="s">
        <v>411</v>
      </c>
      <c r="L201" t="s">
        <v>956</v>
      </c>
      <c r="M201" t="s">
        <v>720</v>
      </c>
      <c r="N201" s="58">
        <v>45822</v>
      </c>
      <c r="O201" s="58"/>
      <c r="P201" s="58"/>
      <c r="Q201" s="59" t="str">
        <f ca="1">IF(Register[[#This Row],[Last Verified]]="","",TODAY()-Register[[#This Row],[Last Verified]])</f>
        <v/>
      </c>
      <c r="R20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1" t="s">
        <v>1314</v>
      </c>
    </row>
    <row r="202" spans="1:21" x14ac:dyDescent="0.25">
      <c r="A202" t="s">
        <v>1315</v>
      </c>
      <c r="B202" t="s">
        <v>719</v>
      </c>
      <c r="C202" t="s">
        <v>1316</v>
      </c>
      <c r="D202" t="s">
        <v>1130</v>
      </c>
      <c r="F202" s="57" t="s">
        <v>436</v>
      </c>
      <c r="G202" s="57" t="s">
        <v>435</v>
      </c>
      <c r="H202" s="57" t="s">
        <v>768</v>
      </c>
      <c r="I202" s="57" t="s">
        <v>768</v>
      </c>
      <c r="J202" s="57" t="s">
        <v>768</v>
      </c>
      <c r="K202" t="s">
        <v>437</v>
      </c>
      <c r="M202" t="s">
        <v>720</v>
      </c>
      <c r="N202" s="58"/>
      <c r="O202" s="58"/>
      <c r="P202" s="58"/>
      <c r="Q202" s="59" t="str">
        <f ca="1">IF(Register[[#This Row],[Last Verified]]="","",TODAY()-Register[[#This Row],[Last Verified]])</f>
        <v/>
      </c>
      <c r="R20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2" t="s">
        <v>1317</v>
      </c>
    </row>
    <row r="203" spans="1:21" x14ac:dyDescent="0.25">
      <c r="A203" t="s">
        <v>1318</v>
      </c>
      <c r="B203" t="s">
        <v>719</v>
      </c>
      <c r="C203" t="s">
        <v>1319</v>
      </c>
      <c r="D203" t="s">
        <v>1130</v>
      </c>
      <c r="F203" s="57" t="s">
        <v>440</v>
      </c>
      <c r="G203" s="57" t="s">
        <v>439</v>
      </c>
      <c r="H203" s="57" t="s">
        <v>768</v>
      </c>
      <c r="I203" s="57" t="s">
        <v>768</v>
      </c>
      <c r="J203" s="57" t="s">
        <v>768</v>
      </c>
      <c r="K203" t="s">
        <v>437</v>
      </c>
      <c r="M203" t="s">
        <v>720</v>
      </c>
      <c r="N203" s="58"/>
      <c r="O203" s="58"/>
      <c r="P203" s="58"/>
      <c r="Q203" s="59" t="str">
        <f ca="1">IF(Register[[#This Row],[Last Verified]]="","",TODAY()-Register[[#This Row],[Last Verified]])</f>
        <v/>
      </c>
      <c r="R20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3" t="s">
        <v>1320</v>
      </c>
    </row>
    <row r="204" spans="1:21" x14ac:dyDescent="0.25">
      <c r="A204" t="s">
        <v>1321</v>
      </c>
      <c r="B204" t="s">
        <v>719</v>
      </c>
      <c r="C204" t="s">
        <v>1322</v>
      </c>
      <c r="D204" t="s">
        <v>1130</v>
      </c>
      <c r="F204" s="57" t="s">
        <v>443</v>
      </c>
      <c r="G204" s="57" t="s">
        <v>442</v>
      </c>
      <c r="H204" s="57" t="s">
        <v>768</v>
      </c>
      <c r="I204" s="57" t="s">
        <v>768</v>
      </c>
      <c r="J204" s="57" t="s">
        <v>768</v>
      </c>
      <c r="K204" t="s">
        <v>437</v>
      </c>
      <c r="M204" t="s">
        <v>720</v>
      </c>
      <c r="N204" s="58"/>
      <c r="O204" s="58"/>
      <c r="P204" s="58"/>
      <c r="Q204" s="59" t="str">
        <f ca="1">IF(Register[[#This Row],[Last Verified]]="","",TODAY()-Register[[#This Row],[Last Verified]])</f>
        <v/>
      </c>
      <c r="R20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4" t="s">
        <v>1323</v>
      </c>
    </row>
    <row r="205" spans="1:21" x14ac:dyDescent="0.25">
      <c r="A205" t="s">
        <v>1324</v>
      </c>
      <c r="B205" t="s">
        <v>719</v>
      </c>
      <c r="C205" t="s">
        <v>1325</v>
      </c>
      <c r="D205" t="s">
        <v>1130</v>
      </c>
      <c r="F205" s="57" t="s">
        <v>446</v>
      </c>
      <c r="G205" s="57" t="s">
        <v>445</v>
      </c>
      <c r="H205" s="57" t="s">
        <v>768</v>
      </c>
      <c r="I205" s="57" t="s">
        <v>768</v>
      </c>
      <c r="J205" s="57" t="s">
        <v>768</v>
      </c>
      <c r="K205" t="s">
        <v>730</v>
      </c>
      <c r="M205" t="s">
        <v>720</v>
      </c>
      <c r="N205" s="58"/>
      <c r="O205" s="58"/>
      <c r="P205" s="58"/>
      <c r="Q205" s="59" t="str">
        <f ca="1">IF(Register[[#This Row],[Last Verified]]="","",TODAY()-Register[[#This Row],[Last Verified]])</f>
        <v/>
      </c>
      <c r="R20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5" t="s">
        <v>1326</v>
      </c>
    </row>
    <row r="206" spans="1:21" x14ac:dyDescent="0.25">
      <c r="A206" t="s">
        <v>1327</v>
      </c>
      <c r="B206" t="s">
        <v>719</v>
      </c>
      <c r="C206" t="s">
        <v>1328</v>
      </c>
      <c r="D206" t="s">
        <v>1130</v>
      </c>
      <c r="F206" s="57" t="s">
        <v>450</v>
      </c>
      <c r="G206" s="57" t="s">
        <v>449</v>
      </c>
      <c r="H206" s="57" t="s">
        <v>768</v>
      </c>
      <c r="I206" s="57" t="s">
        <v>768</v>
      </c>
      <c r="J206" s="57" t="s">
        <v>768</v>
      </c>
      <c r="K206" t="s">
        <v>730</v>
      </c>
      <c r="M206" t="s">
        <v>720</v>
      </c>
      <c r="N206" s="58"/>
      <c r="O206" s="58"/>
      <c r="P206" s="58"/>
      <c r="Q206" s="59" t="str">
        <f ca="1">IF(Register[[#This Row],[Last Verified]]="","",TODAY()-Register[[#This Row],[Last Verified]])</f>
        <v/>
      </c>
      <c r="R20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6" t="s">
        <v>1329</v>
      </c>
    </row>
    <row r="207" spans="1:21" x14ac:dyDescent="0.25">
      <c r="A207" t="s">
        <v>1330</v>
      </c>
      <c r="B207" t="s">
        <v>719</v>
      </c>
      <c r="D207" t="s">
        <v>1331</v>
      </c>
      <c r="E207" t="s">
        <v>1332</v>
      </c>
      <c r="F207" s="57" t="s">
        <v>452</v>
      </c>
      <c r="G207" s="57" t="s">
        <v>768</v>
      </c>
      <c r="H207" s="57" t="s">
        <v>768</v>
      </c>
      <c r="I207" s="57" t="s">
        <v>768</v>
      </c>
      <c r="J207" s="57" t="s">
        <v>768</v>
      </c>
      <c r="K207" t="s">
        <v>730</v>
      </c>
      <c r="M207" t="s">
        <v>720</v>
      </c>
      <c r="N207" s="58"/>
      <c r="O207" s="58"/>
      <c r="P207" s="58"/>
      <c r="Q207" s="59" t="str">
        <f ca="1">IF(Register[[#This Row],[Last Verified]]="","",TODAY()-Register[[#This Row],[Last Verified]])</f>
        <v/>
      </c>
      <c r="R20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7" t="s">
        <v>1333</v>
      </c>
    </row>
    <row r="208" spans="1:21" x14ac:dyDescent="0.25">
      <c r="A208" t="s">
        <v>1334</v>
      </c>
      <c r="B208" t="s">
        <v>719</v>
      </c>
      <c r="D208" t="s">
        <v>1331</v>
      </c>
      <c r="E208" t="s">
        <v>1332</v>
      </c>
      <c r="F208" s="57" t="s">
        <v>453</v>
      </c>
      <c r="G208" s="57" t="s">
        <v>768</v>
      </c>
      <c r="H208" s="57" t="s">
        <v>768</v>
      </c>
      <c r="I208" s="57" t="s">
        <v>768</v>
      </c>
      <c r="J208" s="57" t="s">
        <v>768</v>
      </c>
      <c r="K208" t="s">
        <v>730</v>
      </c>
      <c r="M208" t="s">
        <v>720</v>
      </c>
      <c r="N208" s="58"/>
      <c r="O208" s="58"/>
      <c r="P208" s="58"/>
      <c r="Q208" s="59" t="str">
        <f ca="1">IF(Register[[#This Row],[Last Verified]]="","",TODAY()-Register[[#This Row],[Last Verified]])</f>
        <v/>
      </c>
      <c r="R20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8" t="s">
        <v>1335</v>
      </c>
    </row>
    <row r="209" spans="1:21" x14ac:dyDescent="0.25">
      <c r="A209" t="s">
        <v>1336</v>
      </c>
      <c r="B209" t="s">
        <v>719</v>
      </c>
      <c r="D209" t="s">
        <v>291</v>
      </c>
      <c r="F209" s="57" t="s">
        <v>454</v>
      </c>
      <c r="G209" s="57" t="s">
        <v>768</v>
      </c>
      <c r="H209" s="57" t="s">
        <v>768</v>
      </c>
      <c r="I209" s="57" t="s">
        <v>768</v>
      </c>
      <c r="J209" s="57" t="s">
        <v>768</v>
      </c>
      <c r="K209" t="s">
        <v>730</v>
      </c>
      <c r="M209" t="s">
        <v>720</v>
      </c>
      <c r="N209" s="58"/>
      <c r="O209" s="58"/>
      <c r="P209" s="58"/>
      <c r="Q209" s="59" t="str">
        <f ca="1">IF(Register[[#This Row],[Last Verified]]="","",TODAY()-Register[[#This Row],[Last Verified]])</f>
        <v/>
      </c>
      <c r="R20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U209" t="s">
        <v>1337</v>
      </c>
    </row>
    <row r="210" spans="1:21" x14ac:dyDescent="0.25">
      <c r="A210" t="s">
        <v>1338</v>
      </c>
      <c r="B210" t="s">
        <v>719</v>
      </c>
      <c r="C210" t="s">
        <v>1339</v>
      </c>
      <c r="D210" t="s">
        <v>291</v>
      </c>
      <c r="F210" s="57" t="s">
        <v>530</v>
      </c>
      <c r="G210" s="57" t="s">
        <v>532</v>
      </c>
      <c r="H210" s="57" t="s">
        <v>768</v>
      </c>
      <c r="I210" s="57" t="s">
        <v>768</v>
      </c>
      <c r="J210" s="57" t="s">
        <v>768</v>
      </c>
      <c r="K210" t="s">
        <v>250</v>
      </c>
      <c r="L210" t="s">
        <v>626</v>
      </c>
      <c r="M210" t="s">
        <v>720</v>
      </c>
      <c r="N210" s="58"/>
      <c r="O210" s="58"/>
      <c r="P210" s="58"/>
      <c r="Q210" s="59" t="str">
        <f ca="1">IF(Register[[#This Row],[Last Verified]]="","",TODAY()-Register[[#This Row],[Last Verified]])</f>
        <v/>
      </c>
      <c r="R21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Duplicate serial, Verify due</v>
      </c>
      <c r="U210" t="s">
        <v>1340</v>
      </c>
    </row>
    <row r="211" spans="1:21" x14ac:dyDescent="0.25">
      <c r="A211" t="s">
        <v>1341</v>
      </c>
      <c r="B211" t="s">
        <v>719</v>
      </c>
      <c r="D211" t="s">
        <v>1130</v>
      </c>
      <c r="F211" s="57" t="s">
        <v>464</v>
      </c>
      <c r="G211" s="57" t="s">
        <v>465</v>
      </c>
      <c r="H211" s="57" t="s">
        <v>768</v>
      </c>
      <c r="I211" s="57" t="s">
        <v>768</v>
      </c>
      <c r="J211" s="57" t="s">
        <v>768</v>
      </c>
      <c r="K211" t="s">
        <v>459</v>
      </c>
      <c r="M211" t="s">
        <v>723</v>
      </c>
      <c r="N211" s="58"/>
      <c r="O211" s="58"/>
      <c r="P211" s="58"/>
      <c r="Q211" s="59" t="str">
        <f ca="1">IF(Register[[#This Row],[Last Verified]]="","",TODAY()-Register[[#This Row],[Last Verified]])</f>
        <v/>
      </c>
      <c r="R21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11" t="s">
        <v>1342</v>
      </c>
      <c r="U211" t="s">
        <v>1343</v>
      </c>
    </row>
    <row r="212" spans="1:21" x14ac:dyDescent="0.25">
      <c r="A212" t="s">
        <v>1344</v>
      </c>
      <c r="B212" t="s">
        <v>719</v>
      </c>
      <c r="D212" t="s">
        <v>1130</v>
      </c>
      <c r="F212" s="57" t="s">
        <v>466</v>
      </c>
      <c r="G212" s="57" t="s">
        <v>467</v>
      </c>
      <c r="H212" s="57" t="s">
        <v>768</v>
      </c>
      <c r="I212" s="57" t="s">
        <v>768</v>
      </c>
      <c r="J212" s="57" t="s">
        <v>768</v>
      </c>
      <c r="K212" t="s">
        <v>459</v>
      </c>
      <c r="M212" t="s">
        <v>723</v>
      </c>
      <c r="N212" s="58"/>
      <c r="O212" s="58"/>
      <c r="P212" s="58"/>
      <c r="Q212" s="59" t="str">
        <f ca="1">IF(Register[[#This Row],[Last Verified]]="","",TODAY()-Register[[#This Row],[Last Verified]])</f>
        <v/>
      </c>
      <c r="R21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12" t="s">
        <v>1345</v>
      </c>
      <c r="U212" t="s">
        <v>1346</v>
      </c>
    </row>
    <row r="213" spans="1:21" x14ac:dyDescent="0.25">
      <c r="A213" t="s">
        <v>1347</v>
      </c>
      <c r="B213" t="s">
        <v>719</v>
      </c>
      <c r="D213" t="s">
        <v>1130</v>
      </c>
      <c r="F213" s="57" t="s">
        <v>468</v>
      </c>
      <c r="G213" s="57" t="s">
        <v>391</v>
      </c>
      <c r="H213" s="57" t="s">
        <v>768</v>
      </c>
      <c r="I213" s="57" t="s">
        <v>768</v>
      </c>
      <c r="J213" s="57" t="s">
        <v>768</v>
      </c>
      <c r="L213" t="s">
        <v>991</v>
      </c>
      <c r="M213" t="s">
        <v>723</v>
      </c>
      <c r="N213" s="58"/>
      <c r="O213" s="58"/>
      <c r="P213" s="58"/>
      <c r="Q213" s="59" t="str">
        <f ca="1">IF(Register[[#This Row],[Last Verified]]="","",TODAY()-Register[[#This Row],[Last Verified]])</f>
        <v/>
      </c>
      <c r="R21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3" t="s">
        <v>1348</v>
      </c>
      <c r="U213" t="s">
        <v>1349</v>
      </c>
    </row>
    <row r="214" spans="1:21" x14ac:dyDescent="0.25">
      <c r="A214" t="s">
        <v>1350</v>
      </c>
      <c r="B214" t="s">
        <v>719</v>
      </c>
      <c r="D214" t="s">
        <v>1130</v>
      </c>
      <c r="F214" s="57" t="s">
        <v>469</v>
      </c>
      <c r="G214" s="57" t="s">
        <v>470</v>
      </c>
      <c r="H214" s="57" t="s">
        <v>768</v>
      </c>
      <c r="I214" s="57" t="s">
        <v>768</v>
      </c>
      <c r="J214" s="57" t="s">
        <v>768</v>
      </c>
      <c r="L214" t="s">
        <v>991</v>
      </c>
      <c r="M214" t="s">
        <v>723</v>
      </c>
      <c r="N214" s="58"/>
      <c r="O214" s="58"/>
      <c r="P214" s="58"/>
      <c r="Q214" s="59" t="str">
        <f ca="1">IF(Register[[#This Row],[Last Verified]]="","",TODAY()-Register[[#This Row],[Last Verified]])</f>
        <v/>
      </c>
      <c r="R21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4" t="s">
        <v>1351</v>
      </c>
      <c r="U214" t="s">
        <v>1352</v>
      </c>
    </row>
    <row r="215" spans="1:21" x14ac:dyDescent="0.25">
      <c r="A215" t="s">
        <v>1353</v>
      </c>
      <c r="B215" t="s">
        <v>719</v>
      </c>
      <c r="D215" t="s">
        <v>1130</v>
      </c>
      <c r="F215" s="57" t="s">
        <v>471</v>
      </c>
      <c r="G215" s="57" t="s">
        <v>472</v>
      </c>
      <c r="H215" s="57" t="s">
        <v>768</v>
      </c>
      <c r="I215" s="57" t="s">
        <v>768</v>
      </c>
      <c r="J215" s="57" t="s">
        <v>768</v>
      </c>
      <c r="L215" t="s">
        <v>991</v>
      </c>
      <c r="M215" t="s">
        <v>723</v>
      </c>
      <c r="N215" s="58"/>
      <c r="O215" s="58"/>
      <c r="P215" s="58"/>
      <c r="Q215" s="59" t="str">
        <f ca="1">IF(Register[[#This Row],[Last Verified]]="","",TODAY()-Register[[#This Row],[Last Verified]])</f>
        <v/>
      </c>
      <c r="R21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5" t="s">
        <v>1354</v>
      </c>
      <c r="U215" t="s">
        <v>1355</v>
      </c>
    </row>
    <row r="216" spans="1:21" x14ac:dyDescent="0.25">
      <c r="A216" t="s">
        <v>1356</v>
      </c>
      <c r="B216" t="s">
        <v>719</v>
      </c>
      <c r="D216" t="s">
        <v>1130</v>
      </c>
      <c r="F216" s="57" t="s">
        <v>473</v>
      </c>
      <c r="G216" s="57" t="s">
        <v>474</v>
      </c>
      <c r="H216" s="57" t="s">
        <v>768</v>
      </c>
      <c r="I216" s="57" t="s">
        <v>768</v>
      </c>
      <c r="J216" s="57" t="s">
        <v>768</v>
      </c>
      <c r="L216" t="s">
        <v>991</v>
      </c>
      <c r="M216" t="s">
        <v>723</v>
      </c>
      <c r="N216" s="58"/>
      <c r="O216" s="58"/>
      <c r="P216" s="58"/>
      <c r="Q216" s="59" t="str">
        <f ca="1">IF(Register[[#This Row],[Last Verified]]="","",TODAY()-Register[[#This Row],[Last Verified]])</f>
        <v/>
      </c>
      <c r="R21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6" t="s">
        <v>1357</v>
      </c>
      <c r="U216" t="s">
        <v>1358</v>
      </c>
    </row>
    <row r="217" spans="1:21" x14ac:dyDescent="0.25">
      <c r="A217" t="s">
        <v>1359</v>
      </c>
      <c r="B217" t="s">
        <v>719</v>
      </c>
      <c r="D217" t="s">
        <v>1130</v>
      </c>
      <c r="F217" s="57" t="s">
        <v>475</v>
      </c>
      <c r="G217" s="57" t="s">
        <v>476</v>
      </c>
      <c r="H217" s="57" t="s">
        <v>768</v>
      </c>
      <c r="I217" s="57" t="s">
        <v>768</v>
      </c>
      <c r="J217" s="57" t="s">
        <v>768</v>
      </c>
      <c r="L217" t="s">
        <v>991</v>
      </c>
      <c r="M217" t="s">
        <v>723</v>
      </c>
      <c r="N217" s="58"/>
      <c r="O217" s="58"/>
      <c r="P217" s="58"/>
      <c r="Q217" s="59" t="str">
        <f ca="1">IF(Register[[#This Row],[Last Verified]]="","",TODAY()-Register[[#This Row],[Last Verified]])</f>
        <v/>
      </c>
      <c r="R21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7" t="s">
        <v>1360</v>
      </c>
      <c r="U217" t="s">
        <v>1361</v>
      </c>
    </row>
    <row r="218" spans="1:21" x14ac:dyDescent="0.25">
      <c r="A218" t="s">
        <v>1362</v>
      </c>
      <c r="B218" t="s">
        <v>719</v>
      </c>
      <c r="D218" t="s">
        <v>1130</v>
      </c>
      <c r="F218" s="57" t="s">
        <v>477</v>
      </c>
      <c r="G218" s="57" t="s">
        <v>768</v>
      </c>
      <c r="H218" s="57" t="s">
        <v>768</v>
      </c>
      <c r="I218" s="57" t="s">
        <v>768</v>
      </c>
      <c r="J218" s="57" t="s">
        <v>768</v>
      </c>
      <c r="L218" t="s">
        <v>991</v>
      </c>
      <c r="M218" t="s">
        <v>723</v>
      </c>
      <c r="N218" s="58"/>
      <c r="O218" s="58"/>
      <c r="P218" s="58"/>
      <c r="Q218" s="59" t="str">
        <f ca="1">IF(Register[[#This Row],[Last Verified]]="","",TODAY()-Register[[#This Row],[Last Verified]])</f>
        <v/>
      </c>
      <c r="R21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8" t="s">
        <v>1363</v>
      </c>
      <c r="U218" t="s">
        <v>1364</v>
      </c>
    </row>
    <row r="219" spans="1:21" x14ac:dyDescent="0.25">
      <c r="A219" t="s">
        <v>1365</v>
      </c>
      <c r="B219" t="s">
        <v>719</v>
      </c>
      <c r="D219" t="s">
        <v>1130</v>
      </c>
      <c r="F219" s="57" t="s">
        <v>478</v>
      </c>
      <c r="G219" s="57" t="s">
        <v>768</v>
      </c>
      <c r="H219" s="57" t="s">
        <v>768</v>
      </c>
      <c r="I219" s="57" t="s">
        <v>768</v>
      </c>
      <c r="J219" s="57" t="s">
        <v>768</v>
      </c>
      <c r="L219" t="s">
        <v>991</v>
      </c>
      <c r="M219" t="s">
        <v>723</v>
      </c>
      <c r="N219" s="58"/>
      <c r="O219" s="58"/>
      <c r="P219" s="58"/>
      <c r="Q219" s="59" t="str">
        <f ca="1">IF(Register[[#This Row],[Last Verified]]="","",TODAY()-Register[[#This Row],[Last Verified]])</f>
        <v/>
      </c>
      <c r="R21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19" t="s">
        <v>1366</v>
      </c>
      <c r="U219" t="s">
        <v>1367</v>
      </c>
    </row>
    <row r="220" spans="1:21" x14ac:dyDescent="0.25">
      <c r="A220" t="s">
        <v>1368</v>
      </c>
      <c r="B220" t="s">
        <v>719</v>
      </c>
      <c r="D220" t="s">
        <v>1130</v>
      </c>
      <c r="F220" s="57" t="s">
        <v>479</v>
      </c>
      <c r="G220" s="57" t="s">
        <v>768</v>
      </c>
      <c r="H220" s="57" t="s">
        <v>768</v>
      </c>
      <c r="I220" s="57" t="s">
        <v>768</v>
      </c>
      <c r="J220" s="57" t="s">
        <v>768</v>
      </c>
      <c r="L220" t="s">
        <v>991</v>
      </c>
      <c r="M220" t="s">
        <v>723</v>
      </c>
      <c r="N220" s="58"/>
      <c r="O220" s="58"/>
      <c r="P220" s="58"/>
      <c r="Q220" s="59" t="str">
        <f ca="1">IF(Register[[#This Row],[Last Verified]]="","",TODAY()-Register[[#This Row],[Last Verified]])</f>
        <v/>
      </c>
      <c r="R22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0" t="s">
        <v>1369</v>
      </c>
      <c r="U220" t="s">
        <v>1370</v>
      </c>
    </row>
    <row r="221" spans="1:21" x14ac:dyDescent="0.25">
      <c r="A221" t="s">
        <v>1371</v>
      </c>
      <c r="B221" t="s">
        <v>719</v>
      </c>
      <c r="D221" t="s">
        <v>1130</v>
      </c>
      <c r="F221" s="57" t="s">
        <v>480</v>
      </c>
      <c r="G221" s="57" t="s">
        <v>768</v>
      </c>
      <c r="H221" s="57" t="s">
        <v>768</v>
      </c>
      <c r="I221" s="57" t="s">
        <v>768</v>
      </c>
      <c r="J221" s="57" t="s">
        <v>768</v>
      </c>
      <c r="L221" t="s">
        <v>991</v>
      </c>
      <c r="M221" t="s">
        <v>723</v>
      </c>
      <c r="N221" s="58"/>
      <c r="O221" s="58"/>
      <c r="P221" s="58"/>
      <c r="Q221" s="59" t="str">
        <f ca="1">IF(Register[[#This Row],[Last Verified]]="","",TODAY()-Register[[#This Row],[Last Verified]])</f>
        <v/>
      </c>
      <c r="R22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1" t="s">
        <v>1372</v>
      </c>
      <c r="U221" t="s">
        <v>1373</v>
      </c>
    </row>
    <row r="222" spans="1:21" x14ac:dyDescent="0.25">
      <c r="A222" t="s">
        <v>1374</v>
      </c>
      <c r="B222" t="s">
        <v>719</v>
      </c>
      <c r="D222" t="s">
        <v>1130</v>
      </c>
      <c r="F222" s="57" t="s">
        <v>481</v>
      </c>
      <c r="G222" s="57" t="s">
        <v>768</v>
      </c>
      <c r="H222" s="57" t="s">
        <v>768</v>
      </c>
      <c r="I222" s="57" t="s">
        <v>768</v>
      </c>
      <c r="J222" s="57" t="s">
        <v>768</v>
      </c>
      <c r="L222" t="s">
        <v>991</v>
      </c>
      <c r="M222" t="s">
        <v>723</v>
      </c>
      <c r="N222" s="58"/>
      <c r="O222" s="58"/>
      <c r="P222" s="58"/>
      <c r="Q222" s="59" t="str">
        <f ca="1">IF(Register[[#This Row],[Last Verified]]="","",TODAY()-Register[[#This Row],[Last Verified]])</f>
        <v/>
      </c>
      <c r="R22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2" t="s">
        <v>1375</v>
      </c>
      <c r="U222" t="s">
        <v>1376</v>
      </c>
    </row>
    <row r="223" spans="1:21" x14ac:dyDescent="0.25">
      <c r="A223" t="s">
        <v>1377</v>
      </c>
      <c r="B223" t="s">
        <v>719</v>
      </c>
      <c r="D223" t="s">
        <v>1130</v>
      </c>
      <c r="F223" s="57" t="s">
        <v>482</v>
      </c>
      <c r="G223" s="57" t="s">
        <v>768</v>
      </c>
      <c r="H223" s="57" t="s">
        <v>768</v>
      </c>
      <c r="I223" s="57" t="s">
        <v>768</v>
      </c>
      <c r="J223" s="57" t="s">
        <v>768</v>
      </c>
      <c r="L223" t="s">
        <v>991</v>
      </c>
      <c r="M223" t="s">
        <v>723</v>
      </c>
      <c r="N223" s="58"/>
      <c r="O223" s="58"/>
      <c r="P223" s="58"/>
      <c r="Q223" s="59" t="str">
        <f ca="1">IF(Register[[#This Row],[Last Verified]]="","",TODAY()-Register[[#This Row],[Last Verified]])</f>
        <v/>
      </c>
      <c r="R22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3" t="s">
        <v>1378</v>
      </c>
      <c r="U223" t="s">
        <v>1379</v>
      </c>
    </row>
    <row r="224" spans="1:21" x14ac:dyDescent="0.25">
      <c r="A224" t="s">
        <v>1380</v>
      </c>
      <c r="B224" t="s">
        <v>719</v>
      </c>
      <c r="D224" t="s">
        <v>1130</v>
      </c>
      <c r="F224" s="57" t="s">
        <v>483</v>
      </c>
      <c r="G224" s="57" t="s">
        <v>768</v>
      </c>
      <c r="H224" s="57" t="s">
        <v>768</v>
      </c>
      <c r="I224" s="57" t="s">
        <v>768</v>
      </c>
      <c r="J224" s="57" t="s">
        <v>768</v>
      </c>
      <c r="L224" t="s">
        <v>991</v>
      </c>
      <c r="M224" t="s">
        <v>723</v>
      </c>
      <c r="N224" s="58"/>
      <c r="O224" s="58"/>
      <c r="P224" s="58"/>
      <c r="Q224" s="59" t="str">
        <f ca="1">IF(Register[[#This Row],[Last Verified]]="","",TODAY()-Register[[#This Row],[Last Verified]])</f>
        <v/>
      </c>
      <c r="R22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4" t="s">
        <v>1381</v>
      </c>
      <c r="U224" t="s">
        <v>1382</v>
      </c>
    </row>
    <row r="225" spans="1:21" x14ac:dyDescent="0.25">
      <c r="A225" t="s">
        <v>1383</v>
      </c>
      <c r="B225" t="s">
        <v>719</v>
      </c>
      <c r="D225" t="s">
        <v>1130</v>
      </c>
      <c r="F225" s="57" t="s">
        <v>484</v>
      </c>
      <c r="G225" s="57" t="s">
        <v>768</v>
      </c>
      <c r="H225" s="57" t="s">
        <v>768</v>
      </c>
      <c r="I225" s="57" t="s">
        <v>768</v>
      </c>
      <c r="J225" s="57" t="s">
        <v>768</v>
      </c>
      <c r="L225" t="s">
        <v>956</v>
      </c>
      <c r="M225" t="s">
        <v>723</v>
      </c>
      <c r="N225" s="58"/>
      <c r="O225" s="58"/>
      <c r="P225" s="58"/>
      <c r="Q225" s="59" t="str">
        <f ca="1">IF(Register[[#This Row],[Last Verified]]="","",TODAY()-Register[[#This Row],[Last Verified]])</f>
        <v/>
      </c>
      <c r="R22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5" t="s">
        <v>1384</v>
      </c>
      <c r="U225" t="s">
        <v>1385</v>
      </c>
    </row>
    <row r="226" spans="1:21" x14ac:dyDescent="0.25">
      <c r="A226" t="s">
        <v>1386</v>
      </c>
      <c r="B226" t="s">
        <v>719</v>
      </c>
      <c r="D226" t="s">
        <v>1130</v>
      </c>
      <c r="F226" s="57" t="s">
        <v>485</v>
      </c>
      <c r="G226" s="57" t="s">
        <v>768</v>
      </c>
      <c r="H226" s="57" t="s">
        <v>768</v>
      </c>
      <c r="I226" s="57" t="s">
        <v>768</v>
      </c>
      <c r="J226" s="57" t="s">
        <v>768</v>
      </c>
      <c r="L226" t="s">
        <v>956</v>
      </c>
      <c r="M226" t="s">
        <v>723</v>
      </c>
      <c r="N226" s="58"/>
      <c r="O226" s="58"/>
      <c r="P226" s="58"/>
      <c r="Q226" s="59" t="str">
        <f ca="1">IF(Register[[#This Row],[Last Verified]]="","",TODAY()-Register[[#This Row],[Last Verified]])</f>
        <v/>
      </c>
      <c r="R22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6" t="s">
        <v>1387</v>
      </c>
      <c r="U226" t="s">
        <v>1388</v>
      </c>
    </row>
    <row r="227" spans="1:21" x14ac:dyDescent="0.25">
      <c r="A227" t="s">
        <v>1389</v>
      </c>
      <c r="B227" t="s">
        <v>719</v>
      </c>
      <c r="D227" t="s">
        <v>1130</v>
      </c>
      <c r="F227" s="57" t="s">
        <v>486</v>
      </c>
      <c r="G227" s="57" t="s">
        <v>768</v>
      </c>
      <c r="H227" s="57" t="s">
        <v>768</v>
      </c>
      <c r="I227" s="57" t="s">
        <v>768</v>
      </c>
      <c r="J227" s="57" t="s">
        <v>768</v>
      </c>
      <c r="L227" t="s">
        <v>956</v>
      </c>
      <c r="M227" t="s">
        <v>723</v>
      </c>
      <c r="N227" s="58"/>
      <c r="O227" s="58"/>
      <c r="P227" s="58"/>
      <c r="Q227" s="59" t="str">
        <f ca="1">IF(Register[[#This Row],[Last Verified]]="","",TODAY()-Register[[#This Row],[Last Verified]])</f>
        <v/>
      </c>
      <c r="R22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7" t="s">
        <v>1390</v>
      </c>
      <c r="U227" t="s">
        <v>1391</v>
      </c>
    </row>
    <row r="228" spans="1:21" x14ac:dyDescent="0.25">
      <c r="A228" t="s">
        <v>1392</v>
      </c>
      <c r="B228" t="s">
        <v>719</v>
      </c>
      <c r="D228" t="s">
        <v>1130</v>
      </c>
      <c r="F228" s="57" t="s">
        <v>487</v>
      </c>
      <c r="G228" s="57" t="s">
        <v>768</v>
      </c>
      <c r="H228" s="57" t="s">
        <v>768</v>
      </c>
      <c r="I228" s="57" t="s">
        <v>768</v>
      </c>
      <c r="J228" s="57" t="s">
        <v>768</v>
      </c>
      <c r="L228" t="s">
        <v>956</v>
      </c>
      <c r="M228" t="s">
        <v>723</v>
      </c>
      <c r="N228" s="58"/>
      <c r="O228" s="58"/>
      <c r="P228" s="58"/>
      <c r="Q228" s="59" t="str">
        <f ca="1">IF(Register[[#This Row],[Last Verified]]="","",TODAY()-Register[[#This Row],[Last Verified]])</f>
        <v/>
      </c>
      <c r="R22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8" t="s">
        <v>1393</v>
      </c>
      <c r="U228" t="s">
        <v>1394</v>
      </c>
    </row>
    <row r="229" spans="1:21" x14ac:dyDescent="0.25">
      <c r="A229" t="s">
        <v>1395</v>
      </c>
      <c r="B229" t="s">
        <v>719</v>
      </c>
      <c r="D229" t="s">
        <v>1130</v>
      </c>
      <c r="F229" s="57" t="s">
        <v>488</v>
      </c>
      <c r="G229" s="57" t="s">
        <v>489</v>
      </c>
      <c r="H229" s="57" t="s">
        <v>768</v>
      </c>
      <c r="I229" s="57" t="s">
        <v>768</v>
      </c>
      <c r="J229" s="57" t="s">
        <v>768</v>
      </c>
      <c r="L229" t="s">
        <v>956</v>
      </c>
      <c r="M229" t="s">
        <v>723</v>
      </c>
      <c r="N229" s="58"/>
      <c r="O229" s="58"/>
      <c r="P229" s="58"/>
      <c r="Q229" s="59" t="str">
        <f ca="1">IF(Register[[#This Row],[Last Verified]]="","",TODAY()-Register[[#This Row],[Last Verified]])</f>
        <v/>
      </c>
      <c r="R22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29" t="s">
        <v>1396</v>
      </c>
      <c r="U229" t="s">
        <v>1397</v>
      </c>
    </row>
    <row r="230" spans="1:21" x14ac:dyDescent="0.25">
      <c r="A230" t="s">
        <v>1398</v>
      </c>
      <c r="B230" t="s">
        <v>719</v>
      </c>
      <c r="D230" t="s">
        <v>1130</v>
      </c>
      <c r="F230" s="57" t="s">
        <v>490</v>
      </c>
      <c r="G230" s="57" t="s">
        <v>491</v>
      </c>
      <c r="H230" s="57" t="s">
        <v>768</v>
      </c>
      <c r="I230" s="57" t="s">
        <v>768</v>
      </c>
      <c r="J230" s="57" t="s">
        <v>768</v>
      </c>
      <c r="L230" t="s">
        <v>956</v>
      </c>
      <c r="M230" t="s">
        <v>723</v>
      </c>
      <c r="N230" s="58"/>
      <c r="O230" s="58"/>
      <c r="P230" s="58"/>
      <c r="Q230" s="59" t="str">
        <f ca="1">IF(Register[[#This Row],[Last Verified]]="","",TODAY()-Register[[#This Row],[Last Verified]])</f>
        <v/>
      </c>
      <c r="R23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0" t="s">
        <v>1399</v>
      </c>
      <c r="U230" t="s">
        <v>1400</v>
      </c>
    </row>
    <row r="231" spans="1:21" x14ac:dyDescent="0.25">
      <c r="A231" t="s">
        <v>1401</v>
      </c>
      <c r="B231" t="s">
        <v>719</v>
      </c>
      <c r="D231" t="s">
        <v>1130</v>
      </c>
      <c r="F231" s="57" t="s">
        <v>492</v>
      </c>
      <c r="G231" s="57" t="s">
        <v>493</v>
      </c>
      <c r="H231" s="57" t="s">
        <v>768</v>
      </c>
      <c r="I231" s="57" t="s">
        <v>768</v>
      </c>
      <c r="J231" s="57" t="s">
        <v>768</v>
      </c>
      <c r="L231" t="s">
        <v>956</v>
      </c>
      <c r="M231" t="s">
        <v>723</v>
      </c>
      <c r="N231" s="58"/>
      <c r="O231" s="58"/>
      <c r="P231" s="58"/>
      <c r="Q231" s="59" t="str">
        <f ca="1">IF(Register[[#This Row],[Last Verified]]="","",TODAY()-Register[[#This Row],[Last Verified]])</f>
        <v/>
      </c>
      <c r="R23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1" t="s">
        <v>1402</v>
      </c>
      <c r="U231" t="s">
        <v>1403</v>
      </c>
    </row>
    <row r="232" spans="1:21" x14ac:dyDescent="0.25">
      <c r="A232" t="s">
        <v>1404</v>
      </c>
      <c r="B232" t="s">
        <v>719</v>
      </c>
      <c r="D232" t="s">
        <v>1130</v>
      </c>
      <c r="F232" s="57" t="s">
        <v>494</v>
      </c>
      <c r="G232" s="57" t="s">
        <v>495</v>
      </c>
      <c r="H232" s="57" t="s">
        <v>768</v>
      </c>
      <c r="I232" s="57" t="s">
        <v>768</v>
      </c>
      <c r="J232" s="57" t="s">
        <v>768</v>
      </c>
      <c r="L232" t="s">
        <v>956</v>
      </c>
      <c r="M232" t="s">
        <v>723</v>
      </c>
      <c r="N232" s="58"/>
      <c r="O232" s="58"/>
      <c r="P232" s="58"/>
      <c r="Q232" s="59" t="str">
        <f ca="1">IF(Register[[#This Row],[Last Verified]]="","",TODAY()-Register[[#This Row],[Last Verified]])</f>
        <v/>
      </c>
      <c r="R23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2" t="s">
        <v>1405</v>
      </c>
      <c r="U232" t="s">
        <v>1406</v>
      </c>
    </row>
    <row r="233" spans="1:21" x14ac:dyDescent="0.25">
      <c r="A233" t="s">
        <v>1407</v>
      </c>
      <c r="B233" t="s">
        <v>719</v>
      </c>
      <c r="D233" t="s">
        <v>1130</v>
      </c>
      <c r="F233" s="57" t="s">
        <v>496</v>
      </c>
      <c r="G233" s="57" t="s">
        <v>497</v>
      </c>
      <c r="H233" s="57" t="s">
        <v>768</v>
      </c>
      <c r="I233" s="57" t="s">
        <v>768</v>
      </c>
      <c r="J233" s="57" t="s">
        <v>768</v>
      </c>
      <c r="L233" t="s">
        <v>956</v>
      </c>
      <c r="M233" t="s">
        <v>723</v>
      </c>
      <c r="N233" s="58"/>
      <c r="O233" s="58"/>
      <c r="P233" s="58"/>
      <c r="Q233" s="59" t="str">
        <f ca="1">IF(Register[[#This Row],[Last Verified]]="","",TODAY()-Register[[#This Row],[Last Verified]])</f>
        <v/>
      </c>
      <c r="R23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3" t="s">
        <v>1408</v>
      </c>
      <c r="U233" t="s">
        <v>1409</v>
      </c>
    </row>
    <row r="234" spans="1:21" x14ac:dyDescent="0.25">
      <c r="A234" t="s">
        <v>1410</v>
      </c>
      <c r="B234" t="s">
        <v>719</v>
      </c>
      <c r="D234" t="s">
        <v>1130</v>
      </c>
      <c r="F234" s="57" t="s">
        <v>498</v>
      </c>
      <c r="G234" s="57" t="s">
        <v>499</v>
      </c>
      <c r="H234" s="57" t="s">
        <v>768</v>
      </c>
      <c r="I234" s="57" t="s">
        <v>768</v>
      </c>
      <c r="J234" s="57" t="s">
        <v>768</v>
      </c>
      <c r="L234" t="s">
        <v>956</v>
      </c>
      <c r="M234" t="s">
        <v>723</v>
      </c>
      <c r="N234" s="58"/>
      <c r="O234" s="58"/>
      <c r="P234" s="58"/>
      <c r="Q234" s="59" t="str">
        <f ca="1">IF(Register[[#This Row],[Last Verified]]="","",TODAY()-Register[[#This Row],[Last Verified]])</f>
        <v/>
      </c>
      <c r="R23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4" t="s">
        <v>1411</v>
      </c>
      <c r="U234" t="s">
        <v>1412</v>
      </c>
    </row>
    <row r="235" spans="1:21" x14ac:dyDescent="0.25">
      <c r="A235" t="s">
        <v>1413</v>
      </c>
      <c r="B235" t="s">
        <v>719</v>
      </c>
      <c r="D235" t="s">
        <v>1130</v>
      </c>
      <c r="F235" s="57" t="s">
        <v>500</v>
      </c>
      <c r="G235" s="57" t="s">
        <v>501</v>
      </c>
      <c r="H235" s="57" t="s">
        <v>768</v>
      </c>
      <c r="I235" s="57" t="s">
        <v>768</v>
      </c>
      <c r="J235" s="57" t="s">
        <v>768</v>
      </c>
      <c r="L235" t="s">
        <v>956</v>
      </c>
      <c r="M235" t="s">
        <v>723</v>
      </c>
      <c r="N235" s="58"/>
      <c r="O235" s="58"/>
      <c r="P235" s="58"/>
      <c r="Q235" s="59" t="str">
        <f ca="1">IF(Register[[#This Row],[Last Verified]]="","",TODAY()-Register[[#This Row],[Last Verified]])</f>
        <v/>
      </c>
      <c r="R23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Duplicate serial, No location, Verify due</v>
      </c>
      <c r="T235" t="s">
        <v>1414</v>
      </c>
      <c r="U235" t="s">
        <v>1415</v>
      </c>
    </row>
    <row r="236" spans="1:21" x14ac:dyDescent="0.25">
      <c r="A236" t="s">
        <v>1416</v>
      </c>
      <c r="B236" t="s">
        <v>719</v>
      </c>
      <c r="D236" t="s">
        <v>1130</v>
      </c>
      <c r="F236" s="57" t="s">
        <v>500</v>
      </c>
      <c r="G236" s="57" t="s">
        <v>502</v>
      </c>
      <c r="H236" s="57" t="s">
        <v>768</v>
      </c>
      <c r="I236" s="57" t="s">
        <v>768</v>
      </c>
      <c r="J236" s="57" t="s">
        <v>768</v>
      </c>
      <c r="L236" t="s">
        <v>956</v>
      </c>
      <c r="M236" t="s">
        <v>723</v>
      </c>
      <c r="N236" s="58"/>
      <c r="O236" s="58"/>
      <c r="P236" s="58"/>
      <c r="Q236" s="59" t="str">
        <f ca="1">IF(Register[[#This Row],[Last Verified]]="","",TODAY()-Register[[#This Row],[Last Verified]])</f>
        <v/>
      </c>
      <c r="R23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Duplicate serial, No location, Verify due</v>
      </c>
      <c r="T236" t="s">
        <v>1417</v>
      </c>
      <c r="U236" t="s">
        <v>1418</v>
      </c>
    </row>
    <row r="237" spans="1:21" x14ac:dyDescent="0.25">
      <c r="A237" t="s">
        <v>1419</v>
      </c>
      <c r="B237" t="s">
        <v>719</v>
      </c>
      <c r="D237" t="s">
        <v>1130</v>
      </c>
      <c r="F237" s="57" t="s">
        <v>503</v>
      </c>
      <c r="G237" s="57" t="s">
        <v>768</v>
      </c>
      <c r="H237" s="57" t="s">
        <v>768</v>
      </c>
      <c r="I237" s="57" t="s">
        <v>768</v>
      </c>
      <c r="J237" s="57" t="s">
        <v>768</v>
      </c>
      <c r="L237" t="s">
        <v>964</v>
      </c>
      <c r="M237" t="s">
        <v>723</v>
      </c>
      <c r="N237" s="58"/>
      <c r="O237" s="58"/>
      <c r="P237" s="58"/>
      <c r="Q237" s="59" t="str">
        <f ca="1">IF(Register[[#This Row],[Last Verified]]="","",TODAY()-Register[[#This Row],[Last Verified]])</f>
        <v/>
      </c>
      <c r="R23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7" t="s">
        <v>1420</v>
      </c>
      <c r="U237" t="s">
        <v>1421</v>
      </c>
    </row>
    <row r="238" spans="1:21" x14ac:dyDescent="0.25">
      <c r="A238" t="s">
        <v>1422</v>
      </c>
      <c r="B238" t="s">
        <v>719</v>
      </c>
      <c r="D238" t="s">
        <v>1130</v>
      </c>
      <c r="F238" s="57" t="s">
        <v>504</v>
      </c>
      <c r="G238" s="57" t="s">
        <v>505</v>
      </c>
      <c r="H238" s="57" t="s">
        <v>768</v>
      </c>
      <c r="I238" s="57" t="s">
        <v>768</v>
      </c>
      <c r="J238" s="57" t="s">
        <v>768</v>
      </c>
      <c r="L238" t="s">
        <v>964</v>
      </c>
      <c r="M238" t="s">
        <v>723</v>
      </c>
      <c r="N238" s="58"/>
      <c r="O238" s="58"/>
      <c r="P238" s="58"/>
      <c r="Q238" s="59" t="str">
        <f ca="1">IF(Register[[#This Row],[Last Verified]]="","",TODAY()-Register[[#This Row],[Last Verified]])</f>
        <v/>
      </c>
      <c r="R23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8" t="s">
        <v>1423</v>
      </c>
      <c r="U238" t="s">
        <v>1424</v>
      </c>
    </row>
    <row r="239" spans="1:21" x14ac:dyDescent="0.25">
      <c r="A239" t="s">
        <v>1425</v>
      </c>
      <c r="B239" t="s">
        <v>719</v>
      </c>
      <c r="D239" t="s">
        <v>1130</v>
      </c>
      <c r="F239" s="57" t="s">
        <v>506</v>
      </c>
      <c r="G239" s="57" t="s">
        <v>507</v>
      </c>
      <c r="H239" s="57" t="s">
        <v>768</v>
      </c>
      <c r="I239" s="57" t="s">
        <v>768</v>
      </c>
      <c r="J239" s="57" t="s">
        <v>768</v>
      </c>
      <c r="L239" t="s">
        <v>964</v>
      </c>
      <c r="M239" t="s">
        <v>723</v>
      </c>
      <c r="N239" s="58"/>
      <c r="O239" s="58"/>
      <c r="P239" s="58"/>
      <c r="Q239" s="59" t="str">
        <f ca="1">IF(Register[[#This Row],[Last Verified]]="","",TODAY()-Register[[#This Row],[Last Verified]])</f>
        <v/>
      </c>
      <c r="R23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39" t="s">
        <v>1426</v>
      </c>
      <c r="U239" t="s">
        <v>1427</v>
      </c>
    </row>
    <row r="240" spans="1:21" x14ac:dyDescent="0.25">
      <c r="A240" t="s">
        <v>1428</v>
      </c>
      <c r="B240" t="s">
        <v>719</v>
      </c>
      <c r="D240" t="s">
        <v>1130</v>
      </c>
      <c r="F240" s="57" t="s">
        <v>508</v>
      </c>
      <c r="G240" s="57" t="s">
        <v>509</v>
      </c>
      <c r="H240" s="57" t="s">
        <v>768</v>
      </c>
      <c r="I240" s="57" t="s">
        <v>768</v>
      </c>
      <c r="J240" s="57" t="s">
        <v>768</v>
      </c>
      <c r="L240" t="s">
        <v>964</v>
      </c>
      <c r="M240" t="s">
        <v>723</v>
      </c>
      <c r="N240" s="58"/>
      <c r="O240" s="58"/>
      <c r="P240" s="58"/>
      <c r="Q240" s="59" t="str">
        <f ca="1">IF(Register[[#This Row],[Last Verified]]="","",TODAY()-Register[[#This Row],[Last Verified]])</f>
        <v/>
      </c>
      <c r="R24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0" t="s">
        <v>1429</v>
      </c>
      <c r="U240" t="s">
        <v>1430</v>
      </c>
    </row>
    <row r="241" spans="1:21" x14ac:dyDescent="0.25">
      <c r="A241" t="s">
        <v>1431</v>
      </c>
      <c r="B241" t="s">
        <v>719</v>
      </c>
      <c r="D241" t="s">
        <v>1130</v>
      </c>
      <c r="F241" s="57" t="s">
        <v>510</v>
      </c>
      <c r="G241" s="57" t="s">
        <v>511</v>
      </c>
      <c r="H241" s="57" t="s">
        <v>768</v>
      </c>
      <c r="I241" s="57" t="s">
        <v>768</v>
      </c>
      <c r="J241" s="57" t="s">
        <v>768</v>
      </c>
      <c r="L241" t="s">
        <v>964</v>
      </c>
      <c r="M241" t="s">
        <v>723</v>
      </c>
      <c r="N241" s="58"/>
      <c r="O241" s="58"/>
      <c r="P241" s="58"/>
      <c r="Q241" s="59" t="str">
        <f ca="1">IF(Register[[#This Row],[Last Verified]]="","",TODAY()-Register[[#This Row],[Last Verified]])</f>
        <v/>
      </c>
      <c r="R24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1" t="s">
        <v>1432</v>
      </c>
      <c r="U241" t="s">
        <v>1433</v>
      </c>
    </row>
    <row r="242" spans="1:21" x14ac:dyDescent="0.25">
      <c r="A242" t="s">
        <v>1434</v>
      </c>
      <c r="B242" t="s">
        <v>719</v>
      </c>
      <c r="D242" t="s">
        <v>1130</v>
      </c>
      <c r="F242" s="57" t="s">
        <v>512</v>
      </c>
      <c r="G242" s="57" t="s">
        <v>768</v>
      </c>
      <c r="H242" s="57" t="s">
        <v>768</v>
      </c>
      <c r="I242" s="57" t="s">
        <v>768</v>
      </c>
      <c r="J242" s="57" t="s">
        <v>768</v>
      </c>
      <c r="L242" t="s">
        <v>964</v>
      </c>
      <c r="M242" t="s">
        <v>723</v>
      </c>
      <c r="N242" s="58"/>
      <c r="O242" s="58"/>
      <c r="P242" s="58"/>
      <c r="Q242" s="59" t="str">
        <f ca="1">IF(Register[[#This Row],[Last Verified]]="","",TODAY()-Register[[#This Row],[Last Verified]])</f>
        <v/>
      </c>
      <c r="R24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2" t="s">
        <v>1435</v>
      </c>
      <c r="U242" t="s">
        <v>1436</v>
      </c>
    </row>
    <row r="243" spans="1:21" x14ac:dyDescent="0.25">
      <c r="A243" t="s">
        <v>1437</v>
      </c>
      <c r="B243" t="s">
        <v>719</v>
      </c>
      <c r="D243" t="s">
        <v>1130</v>
      </c>
      <c r="F243" s="57" t="s">
        <v>513</v>
      </c>
      <c r="G243" s="57" t="s">
        <v>768</v>
      </c>
      <c r="H243" s="57" t="s">
        <v>768</v>
      </c>
      <c r="I243" s="57" t="s">
        <v>768</v>
      </c>
      <c r="J243" s="57" t="s">
        <v>768</v>
      </c>
      <c r="L243" t="s">
        <v>964</v>
      </c>
      <c r="M243" t="s">
        <v>723</v>
      </c>
      <c r="N243" s="58"/>
      <c r="O243" s="58"/>
      <c r="P243" s="58"/>
      <c r="Q243" s="59" t="str">
        <f ca="1">IF(Register[[#This Row],[Last Verified]]="","",TODAY()-Register[[#This Row],[Last Verified]])</f>
        <v/>
      </c>
      <c r="R24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3" t="s">
        <v>1438</v>
      </c>
      <c r="U243" t="s">
        <v>1439</v>
      </c>
    </row>
    <row r="244" spans="1:21" x14ac:dyDescent="0.25">
      <c r="A244" t="s">
        <v>1440</v>
      </c>
      <c r="B244" t="s">
        <v>719</v>
      </c>
      <c r="D244" t="s">
        <v>1130</v>
      </c>
      <c r="F244" s="57" t="s">
        <v>514</v>
      </c>
      <c r="G244" s="57" t="s">
        <v>768</v>
      </c>
      <c r="H244" s="57" t="s">
        <v>768</v>
      </c>
      <c r="I244" s="57" t="s">
        <v>768</v>
      </c>
      <c r="J244" s="57" t="s">
        <v>768</v>
      </c>
      <c r="L244" t="s">
        <v>964</v>
      </c>
      <c r="M244" t="s">
        <v>723</v>
      </c>
      <c r="N244" s="58"/>
      <c r="O244" s="58"/>
      <c r="P244" s="58"/>
      <c r="Q244" s="59" t="str">
        <f ca="1">IF(Register[[#This Row],[Last Verified]]="","",TODAY()-Register[[#This Row],[Last Verified]])</f>
        <v/>
      </c>
      <c r="R24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4" t="s">
        <v>1441</v>
      </c>
      <c r="U244" t="s">
        <v>1442</v>
      </c>
    </row>
    <row r="245" spans="1:21" x14ac:dyDescent="0.25">
      <c r="A245" t="s">
        <v>1443</v>
      </c>
      <c r="B245" t="s">
        <v>719</v>
      </c>
      <c r="D245" t="s">
        <v>1130</v>
      </c>
      <c r="F245" s="57" t="s">
        <v>515</v>
      </c>
      <c r="G245" s="57" t="s">
        <v>516</v>
      </c>
      <c r="H245" s="57" t="s">
        <v>768</v>
      </c>
      <c r="I245" s="57" t="s">
        <v>768</v>
      </c>
      <c r="J245" s="57" t="s">
        <v>768</v>
      </c>
      <c r="L245" t="s">
        <v>964</v>
      </c>
      <c r="M245" t="s">
        <v>723</v>
      </c>
      <c r="N245" s="58"/>
      <c r="O245" s="58"/>
      <c r="P245" s="58"/>
      <c r="Q245" s="59" t="str">
        <f ca="1">IF(Register[[#This Row],[Last Verified]]="","",TODAY()-Register[[#This Row],[Last Verified]])</f>
        <v/>
      </c>
      <c r="R24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45" t="s">
        <v>1444</v>
      </c>
      <c r="U245" t="s">
        <v>1445</v>
      </c>
    </row>
    <row r="246" spans="1:21" x14ac:dyDescent="0.25">
      <c r="A246" t="s">
        <v>1446</v>
      </c>
      <c r="B246" t="s">
        <v>719</v>
      </c>
      <c r="C246" t="s">
        <v>518</v>
      </c>
      <c r="D246" t="s">
        <v>1130</v>
      </c>
      <c r="F246" s="57" t="s">
        <v>517</v>
      </c>
      <c r="G246" s="57" t="s">
        <v>519</v>
      </c>
      <c r="H246" s="57" t="s">
        <v>768</v>
      </c>
      <c r="I246" s="57" t="s">
        <v>768</v>
      </c>
      <c r="J246" s="57" t="s">
        <v>768</v>
      </c>
      <c r="K246" t="s">
        <v>520</v>
      </c>
      <c r="M246" t="s">
        <v>723</v>
      </c>
      <c r="N246" s="58"/>
      <c r="O246" s="58"/>
      <c r="P246" s="58"/>
      <c r="Q246" s="59" t="str">
        <f ca="1">IF(Register[[#This Row],[Last Verified]]="","",TODAY()-Register[[#This Row],[Last Verified]])</f>
        <v/>
      </c>
      <c r="R24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46" t="s">
        <v>1381</v>
      </c>
      <c r="U246" t="s">
        <v>1447</v>
      </c>
    </row>
    <row r="247" spans="1:21" x14ac:dyDescent="0.25">
      <c r="A247" t="s">
        <v>1448</v>
      </c>
      <c r="B247" t="s">
        <v>719</v>
      </c>
      <c r="C247" t="s">
        <v>522</v>
      </c>
      <c r="D247" t="s">
        <v>1130</v>
      </c>
      <c r="F247" s="57" t="s">
        <v>521</v>
      </c>
      <c r="G247" s="57" t="s">
        <v>523</v>
      </c>
      <c r="H247" s="57" t="s">
        <v>768</v>
      </c>
      <c r="I247" s="57" t="s">
        <v>768</v>
      </c>
      <c r="J247" s="57" t="s">
        <v>768</v>
      </c>
      <c r="K247" t="s">
        <v>520</v>
      </c>
      <c r="M247" t="s">
        <v>723</v>
      </c>
      <c r="N247" s="58"/>
      <c r="O247" s="58"/>
      <c r="P247" s="58"/>
      <c r="Q247" s="59" t="str">
        <f ca="1">IF(Register[[#This Row],[Last Verified]]="","",TODAY()-Register[[#This Row],[Last Verified]])</f>
        <v/>
      </c>
      <c r="R24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47" t="s">
        <v>1399</v>
      </c>
      <c r="U247" t="s">
        <v>1449</v>
      </c>
    </row>
    <row r="248" spans="1:21" x14ac:dyDescent="0.25">
      <c r="A248" t="s">
        <v>1450</v>
      </c>
      <c r="B248" t="s">
        <v>719</v>
      </c>
      <c r="C248" t="s">
        <v>525</v>
      </c>
      <c r="D248" t="s">
        <v>1130</v>
      </c>
      <c r="F248" s="57" t="s">
        <v>524</v>
      </c>
      <c r="G248" s="57" t="s">
        <v>526</v>
      </c>
      <c r="H248" s="57" t="s">
        <v>768</v>
      </c>
      <c r="I248" s="57" t="s">
        <v>768</v>
      </c>
      <c r="J248" s="57" t="s">
        <v>768</v>
      </c>
      <c r="K248" t="s">
        <v>520</v>
      </c>
      <c r="M248" t="s">
        <v>723</v>
      </c>
      <c r="N248" s="58"/>
      <c r="O248" s="58"/>
      <c r="P248" s="58"/>
      <c r="Q248" s="59" t="str">
        <f ca="1">IF(Register[[#This Row],[Last Verified]]="","",TODAY()-Register[[#This Row],[Last Verified]])</f>
        <v/>
      </c>
      <c r="R24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48" t="s">
        <v>1402</v>
      </c>
      <c r="U248" t="s">
        <v>1451</v>
      </c>
    </row>
    <row r="249" spans="1:21" x14ac:dyDescent="0.25">
      <c r="A249" t="s">
        <v>1452</v>
      </c>
      <c r="B249" t="s">
        <v>719</v>
      </c>
      <c r="C249" t="s">
        <v>528</v>
      </c>
      <c r="D249" t="s">
        <v>1130</v>
      </c>
      <c r="F249" s="57" t="s">
        <v>527</v>
      </c>
      <c r="G249" s="57" t="s">
        <v>529</v>
      </c>
      <c r="H249" s="57" t="s">
        <v>768</v>
      </c>
      <c r="I249" s="57" t="s">
        <v>768</v>
      </c>
      <c r="J249" s="57" t="s">
        <v>768</v>
      </c>
      <c r="K249" t="s">
        <v>520</v>
      </c>
      <c r="M249" t="s">
        <v>723</v>
      </c>
      <c r="N249" s="58"/>
      <c r="O249" s="58"/>
      <c r="P249" s="58"/>
      <c r="Q249" s="59" t="str">
        <f ca="1">IF(Register[[#This Row],[Last Verified]]="","",TODAY()-Register[[#This Row],[Last Verified]])</f>
        <v/>
      </c>
      <c r="R24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49" t="s">
        <v>1408</v>
      </c>
      <c r="U249" t="s">
        <v>1453</v>
      </c>
    </row>
    <row r="250" spans="1:21" x14ac:dyDescent="0.25">
      <c r="A250" t="s">
        <v>1454</v>
      </c>
      <c r="B250" t="s">
        <v>719</v>
      </c>
      <c r="C250" t="s">
        <v>1339</v>
      </c>
      <c r="D250" t="s">
        <v>1130</v>
      </c>
      <c r="F250" s="57" t="s">
        <v>530</v>
      </c>
      <c r="G250" s="57" t="s">
        <v>532</v>
      </c>
      <c r="H250" s="57" t="s">
        <v>768</v>
      </c>
      <c r="I250" s="57" t="s">
        <v>768</v>
      </c>
      <c r="J250" s="57" t="s">
        <v>768</v>
      </c>
      <c r="L250" t="s">
        <v>626</v>
      </c>
      <c r="M250" t="s">
        <v>723</v>
      </c>
      <c r="N250" s="58"/>
      <c r="O250" s="58"/>
      <c r="P250" s="58"/>
      <c r="Q250" s="59" t="str">
        <f ca="1">IF(Register[[#This Row],[Last Verified]]="","",TODAY()-Register[[#This Row],[Last Verified]])</f>
        <v/>
      </c>
      <c r="R25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Duplicate serial, No location, Verify due</v>
      </c>
      <c r="T250" t="s">
        <v>1423</v>
      </c>
      <c r="U250" t="s">
        <v>1455</v>
      </c>
    </row>
    <row r="251" spans="1:21" x14ac:dyDescent="0.25">
      <c r="A251" t="s">
        <v>1456</v>
      </c>
      <c r="B251" t="s">
        <v>719</v>
      </c>
      <c r="C251" t="s">
        <v>1457</v>
      </c>
      <c r="D251" t="s">
        <v>1130</v>
      </c>
      <c r="F251" s="57" t="s">
        <v>534</v>
      </c>
      <c r="G251" s="57" t="s">
        <v>536</v>
      </c>
      <c r="H251" s="57" t="s">
        <v>768</v>
      </c>
      <c r="I251" s="57" t="s">
        <v>768</v>
      </c>
      <c r="J251" s="57" t="s">
        <v>768</v>
      </c>
      <c r="K251" t="s">
        <v>168</v>
      </c>
      <c r="M251" t="s">
        <v>723</v>
      </c>
      <c r="N251" s="58"/>
      <c r="O251" s="58"/>
      <c r="P251" s="58"/>
      <c r="Q251" s="59" t="str">
        <f ca="1">IF(Register[[#This Row],[Last Verified]]="","",TODAY()-Register[[#This Row],[Last Verified]])</f>
        <v/>
      </c>
      <c r="R25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51" t="s">
        <v>1458</v>
      </c>
      <c r="U251" t="s">
        <v>1459</v>
      </c>
    </row>
    <row r="252" spans="1:21" x14ac:dyDescent="0.25">
      <c r="A252" t="s">
        <v>1460</v>
      </c>
      <c r="B252" t="s">
        <v>719</v>
      </c>
      <c r="C252" t="s">
        <v>1461</v>
      </c>
      <c r="D252" t="s">
        <v>1130</v>
      </c>
      <c r="F252" s="57" t="s">
        <v>538</v>
      </c>
      <c r="G252" s="57" t="s">
        <v>540</v>
      </c>
      <c r="H252" s="57" t="s">
        <v>768</v>
      </c>
      <c r="I252" s="57" t="s">
        <v>768</v>
      </c>
      <c r="J252" s="57" t="s">
        <v>768</v>
      </c>
      <c r="K252" t="s">
        <v>168</v>
      </c>
      <c r="M252" t="s">
        <v>723</v>
      </c>
      <c r="N252" s="58"/>
      <c r="O252" s="58"/>
      <c r="P252" s="58"/>
      <c r="Q252" s="59" t="str">
        <f ca="1">IF(Register[[#This Row],[Last Verified]]="","",TODAY()-Register[[#This Row],[Last Verified]])</f>
        <v/>
      </c>
      <c r="R25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52" t="s">
        <v>1462</v>
      </c>
      <c r="U252" t="s">
        <v>1463</v>
      </c>
    </row>
    <row r="253" spans="1:21" x14ac:dyDescent="0.25">
      <c r="A253" t="s">
        <v>1464</v>
      </c>
      <c r="B253" t="s">
        <v>719</v>
      </c>
      <c r="C253" t="s">
        <v>1465</v>
      </c>
      <c r="D253" t="s">
        <v>1130</v>
      </c>
      <c r="F253" s="57" t="s">
        <v>541</v>
      </c>
      <c r="G253" s="57" t="s">
        <v>543</v>
      </c>
      <c r="H253" s="57" t="s">
        <v>768</v>
      </c>
      <c r="I253" s="57" t="s">
        <v>768</v>
      </c>
      <c r="J253" s="57" t="s">
        <v>768</v>
      </c>
      <c r="M253" t="s">
        <v>723</v>
      </c>
      <c r="N253" s="58"/>
      <c r="O253" s="58"/>
      <c r="P253" s="58"/>
      <c r="Q253" s="59" t="str">
        <f ca="1">IF(Register[[#This Row],[Last Verified]]="","",TODAY()-Register[[#This Row],[Last Verified]])</f>
        <v/>
      </c>
      <c r="R25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3" t="s">
        <v>1466</v>
      </c>
      <c r="U253" t="s">
        <v>1467</v>
      </c>
    </row>
    <row r="254" spans="1:21" x14ac:dyDescent="0.25">
      <c r="A254" t="s">
        <v>1468</v>
      </c>
      <c r="B254" t="s">
        <v>719</v>
      </c>
      <c r="C254" t="s">
        <v>1469</v>
      </c>
      <c r="D254" t="s">
        <v>1130</v>
      </c>
      <c r="F254" s="57" t="s">
        <v>544</v>
      </c>
      <c r="G254" s="57" t="s">
        <v>546</v>
      </c>
      <c r="H254" s="57" t="s">
        <v>768</v>
      </c>
      <c r="I254" s="57" t="s">
        <v>768</v>
      </c>
      <c r="J254" s="57" t="s">
        <v>768</v>
      </c>
      <c r="M254" t="s">
        <v>723</v>
      </c>
      <c r="N254" s="58"/>
      <c r="O254" s="58"/>
      <c r="P254" s="58"/>
      <c r="Q254" s="59" t="str">
        <f ca="1">IF(Register[[#This Row],[Last Verified]]="","",TODAY()-Register[[#This Row],[Last Verified]])</f>
        <v/>
      </c>
      <c r="R25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4" t="s">
        <v>1470</v>
      </c>
      <c r="U254" t="s">
        <v>1471</v>
      </c>
    </row>
    <row r="255" spans="1:21" x14ac:dyDescent="0.25">
      <c r="A255" t="s">
        <v>1472</v>
      </c>
      <c r="B255" t="s">
        <v>719</v>
      </c>
      <c r="C255" t="s">
        <v>1473</v>
      </c>
      <c r="D255" t="s">
        <v>1130</v>
      </c>
      <c r="F255" s="57" t="s">
        <v>547</v>
      </c>
      <c r="G255" s="57" t="s">
        <v>549</v>
      </c>
      <c r="H255" s="57" t="s">
        <v>768</v>
      </c>
      <c r="I255" s="57" t="s">
        <v>768</v>
      </c>
      <c r="J255" s="57" t="s">
        <v>768</v>
      </c>
      <c r="M255" t="s">
        <v>723</v>
      </c>
      <c r="N255" s="58"/>
      <c r="O255" s="58"/>
      <c r="P255" s="58"/>
      <c r="Q255" s="59" t="str">
        <f ca="1">IF(Register[[#This Row],[Last Verified]]="","",TODAY()-Register[[#This Row],[Last Verified]])</f>
        <v/>
      </c>
      <c r="R25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5" t="s">
        <v>1474</v>
      </c>
      <c r="U255" t="s">
        <v>1475</v>
      </c>
    </row>
    <row r="256" spans="1:21" x14ac:dyDescent="0.25">
      <c r="A256" t="s">
        <v>1476</v>
      </c>
      <c r="B256" t="s">
        <v>719</v>
      </c>
      <c r="C256" t="s">
        <v>1477</v>
      </c>
      <c r="D256" t="s">
        <v>1130</v>
      </c>
      <c r="F256" s="57" t="s">
        <v>550</v>
      </c>
      <c r="G256" s="57" t="s">
        <v>552</v>
      </c>
      <c r="H256" s="57" t="s">
        <v>768</v>
      </c>
      <c r="I256" s="57" t="s">
        <v>768</v>
      </c>
      <c r="J256" s="57" t="s">
        <v>768</v>
      </c>
      <c r="L256" t="s">
        <v>964</v>
      </c>
      <c r="M256" t="s">
        <v>723</v>
      </c>
      <c r="N256" s="58"/>
      <c r="O256" s="58"/>
      <c r="P256" s="58"/>
      <c r="Q256" s="59" t="str">
        <f ca="1">IF(Register[[#This Row],[Last Verified]]="","",TODAY()-Register[[#This Row],[Last Verified]])</f>
        <v/>
      </c>
      <c r="R25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6" t="s">
        <v>1478</v>
      </c>
      <c r="U256" t="s">
        <v>1479</v>
      </c>
    </row>
    <row r="257" spans="1:21" x14ac:dyDescent="0.25">
      <c r="A257" t="s">
        <v>1480</v>
      </c>
      <c r="B257" t="s">
        <v>719</v>
      </c>
      <c r="C257" t="s">
        <v>1481</v>
      </c>
      <c r="D257" t="s">
        <v>1130</v>
      </c>
      <c r="F257" s="57" t="s">
        <v>554</v>
      </c>
      <c r="G257" s="57" t="s">
        <v>556</v>
      </c>
      <c r="H257" s="57" t="s">
        <v>768</v>
      </c>
      <c r="I257" s="57" t="s">
        <v>768</v>
      </c>
      <c r="J257" s="57" t="s">
        <v>768</v>
      </c>
      <c r="M257" t="s">
        <v>723</v>
      </c>
      <c r="N257" s="58"/>
      <c r="O257" s="58"/>
      <c r="P257" s="58"/>
      <c r="Q257" s="59" t="str">
        <f ca="1">IF(Register[[#This Row],[Last Verified]]="","",TODAY()-Register[[#This Row],[Last Verified]])</f>
        <v/>
      </c>
      <c r="R25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7" t="s">
        <v>1482</v>
      </c>
      <c r="U257" t="s">
        <v>1483</v>
      </c>
    </row>
    <row r="258" spans="1:21" x14ac:dyDescent="0.25">
      <c r="A258" t="s">
        <v>1484</v>
      </c>
      <c r="B258" t="s">
        <v>719</v>
      </c>
      <c r="C258" t="s">
        <v>1485</v>
      </c>
      <c r="D258" t="s">
        <v>1130</v>
      </c>
      <c r="F258" s="57" t="s">
        <v>557</v>
      </c>
      <c r="G258" s="57" t="s">
        <v>559</v>
      </c>
      <c r="H258" s="57" t="s">
        <v>768</v>
      </c>
      <c r="I258" s="57" t="s">
        <v>768</v>
      </c>
      <c r="J258" s="57" t="s">
        <v>768</v>
      </c>
      <c r="M258" t="s">
        <v>723</v>
      </c>
      <c r="N258" s="58"/>
      <c r="O258" s="58"/>
      <c r="P258" s="58"/>
      <c r="Q258" s="59" t="str">
        <f ca="1">IF(Register[[#This Row],[Last Verified]]="","",TODAY()-Register[[#This Row],[Last Verified]])</f>
        <v/>
      </c>
      <c r="R25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8" t="s">
        <v>1486</v>
      </c>
      <c r="U258" t="s">
        <v>1487</v>
      </c>
    </row>
    <row r="259" spans="1:21" x14ac:dyDescent="0.25">
      <c r="A259" t="s">
        <v>1488</v>
      </c>
      <c r="B259" t="s">
        <v>719</v>
      </c>
      <c r="C259" t="s">
        <v>1489</v>
      </c>
      <c r="D259" t="s">
        <v>1130</v>
      </c>
      <c r="F259" s="57" t="s">
        <v>560</v>
      </c>
      <c r="G259" s="57" t="s">
        <v>562</v>
      </c>
      <c r="H259" s="57" t="s">
        <v>768</v>
      </c>
      <c r="I259" s="57" t="s">
        <v>768</v>
      </c>
      <c r="J259" s="57" t="s">
        <v>768</v>
      </c>
      <c r="M259" t="s">
        <v>723</v>
      </c>
      <c r="N259" s="58"/>
      <c r="O259" s="58"/>
      <c r="P259" s="58"/>
      <c r="Q259" s="59" t="str">
        <f ca="1">IF(Register[[#This Row],[Last Verified]]="","",TODAY()-Register[[#This Row],[Last Verified]])</f>
        <v/>
      </c>
      <c r="R25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59" t="s">
        <v>1490</v>
      </c>
      <c r="U259" t="s">
        <v>1491</v>
      </c>
    </row>
    <row r="260" spans="1:21" x14ac:dyDescent="0.25">
      <c r="A260" t="s">
        <v>1492</v>
      </c>
      <c r="B260" t="s">
        <v>719</v>
      </c>
      <c r="C260" t="s">
        <v>1493</v>
      </c>
      <c r="D260" t="s">
        <v>1130</v>
      </c>
      <c r="F260" s="57" t="s">
        <v>563</v>
      </c>
      <c r="G260" s="57" t="s">
        <v>565</v>
      </c>
      <c r="H260" s="57" t="s">
        <v>768</v>
      </c>
      <c r="I260" s="57" t="s">
        <v>768</v>
      </c>
      <c r="J260" s="57" t="s">
        <v>768</v>
      </c>
      <c r="M260" t="s">
        <v>723</v>
      </c>
      <c r="N260" s="58"/>
      <c r="O260" s="58"/>
      <c r="P260" s="58"/>
      <c r="Q260" s="59" t="str">
        <f ca="1">IF(Register[[#This Row],[Last Verified]]="","",TODAY()-Register[[#This Row],[Last Verified]])</f>
        <v/>
      </c>
      <c r="R26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60" t="s">
        <v>1494</v>
      </c>
      <c r="U260" t="s">
        <v>1495</v>
      </c>
    </row>
    <row r="261" spans="1:21" x14ac:dyDescent="0.25">
      <c r="A261" t="s">
        <v>1496</v>
      </c>
      <c r="B261" t="s">
        <v>719</v>
      </c>
      <c r="C261" t="s">
        <v>284</v>
      </c>
      <c r="D261" t="s">
        <v>1130</v>
      </c>
      <c r="E261" t="s">
        <v>1160</v>
      </c>
      <c r="F261" s="57" t="s">
        <v>768</v>
      </c>
      <c r="G261" s="57" t="s">
        <v>566</v>
      </c>
      <c r="H261" s="57" t="s">
        <v>768</v>
      </c>
      <c r="I261" s="57" t="s">
        <v>768</v>
      </c>
      <c r="J261" s="57" t="s">
        <v>768</v>
      </c>
      <c r="M261" t="s">
        <v>723</v>
      </c>
      <c r="N261" s="58"/>
      <c r="O261" s="58"/>
      <c r="P261" s="58"/>
      <c r="Q261" s="59" t="str">
        <f ca="1">IF(Register[[#This Row],[Last Verified]]="","",TODAY()-Register[[#This Row],[Last Verified]])</f>
        <v/>
      </c>
      <c r="R26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261" t="s">
        <v>1497</v>
      </c>
      <c r="U261" t="s">
        <v>1498</v>
      </c>
    </row>
    <row r="262" spans="1:21" x14ac:dyDescent="0.25">
      <c r="A262" t="s">
        <v>1499</v>
      </c>
      <c r="B262" t="s">
        <v>719</v>
      </c>
      <c r="C262" t="s">
        <v>284</v>
      </c>
      <c r="D262" t="s">
        <v>1130</v>
      </c>
      <c r="E262" t="s">
        <v>1160</v>
      </c>
      <c r="F262" s="57" t="s">
        <v>768</v>
      </c>
      <c r="G262" s="57" t="s">
        <v>567</v>
      </c>
      <c r="H262" s="57" t="s">
        <v>768</v>
      </c>
      <c r="I262" s="57" t="s">
        <v>768</v>
      </c>
      <c r="J262" s="57" t="s">
        <v>768</v>
      </c>
      <c r="M262" t="s">
        <v>723</v>
      </c>
      <c r="N262" s="58"/>
      <c r="O262" s="58"/>
      <c r="P262" s="58"/>
      <c r="Q262" s="59" t="str">
        <f ca="1">IF(Register[[#This Row],[Last Verified]]="","",TODAY()-Register[[#This Row],[Last Verified]])</f>
        <v/>
      </c>
      <c r="R26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262" t="s">
        <v>1497</v>
      </c>
      <c r="U262" t="s">
        <v>1500</v>
      </c>
    </row>
    <row r="263" spans="1:21" x14ac:dyDescent="0.25">
      <c r="A263" t="s">
        <v>1501</v>
      </c>
      <c r="B263" t="s">
        <v>719</v>
      </c>
      <c r="C263" t="s">
        <v>284</v>
      </c>
      <c r="D263" t="s">
        <v>1130</v>
      </c>
      <c r="E263" t="s">
        <v>1160</v>
      </c>
      <c r="F263" s="57" t="s">
        <v>768</v>
      </c>
      <c r="G263" s="57" t="s">
        <v>568</v>
      </c>
      <c r="H263" s="57" t="s">
        <v>768</v>
      </c>
      <c r="I263" s="57" t="s">
        <v>768</v>
      </c>
      <c r="J263" s="57" t="s">
        <v>768</v>
      </c>
      <c r="M263" t="s">
        <v>723</v>
      </c>
      <c r="N263" s="58"/>
      <c r="O263" s="58"/>
      <c r="P263" s="58"/>
      <c r="Q263" s="59" t="str">
        <f ca="1">IF(Register[[#This Row],[Last Verified]]="","",TODAY()-Register[[#This Row],[Last Verified]])</f>
        <v/>
      </c>
      <c r="R26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263" t="s">
        <v>1497</v>
      </c>
      <c r="U263" t="s">
        <v>1502</v>
      </c>
    </row>
    <row r="264" spans="1:21" x14ac:dyDescent="0.25">
      <c r="A264" t="s">
        <v>1503</v>
      </c>
      <c r="B264" t="s">
        <v>719</v>
      </c>
      <c r="C264" t="s">
        <v>284</v>
      </c>
      <c r="D264" t="s">
        <v>1130</v>
      </c>
      <c r="E264" t="s">
        <v>1160</v>
      </c>
      <c r="F264" s="57" t="s">
        <v>768</v>
      </c>
      <c r="G264" s="57" t="s">
        <v>569</v>
      </c>
      <c r="H264" s="57" t="s">
        <v>768</v>
      </c>
      <c r="I264" s="57" t="s">
        <v>768</v>
      </c>
      <c r="J264" s="57" t="s">
        <v>768</v>
      </c>
      <c r="M264" t="s">
        <v>723</v>
      </c>
      <c r="N264" s="58"/>
      <c r="O264" s="58"/>
      <c r="P264" s="58"/>
      <c r="Q264" s="59" t="str">
        <f ca="1">IF(Register[[#This Row],[Last Verified]]="","",TODAY()-Register[[#This Row],[Last Verified]])</f>
        <v/>
      </c>
      <c r="R26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264" t="s">
        <v>1497</v>
      </c>
      <c r="U264" t="s">
        <v>1504</v>
      </c>
    </row>
    <row r="265" spans="1:21" x14ac:dyDescent="0.25">
      <c r="A265" t="s">
        <v>1505</v>
      </c>
      <c r="B265" t="s">
        <v>719</v>
      </c>
      <c r="C265" t="s">
        <v>284</v>
      </c>
      <c r="D265" t="s">
        <v>1130</v>
      </c>
      <c r="E265" t="s">
        <v>1160</v>
      </c>
      <c r="F265" s="57" t="s">
        <v>768</v>
      </c>
      <c r="G265" s="57" t="s">
        <v>570</v>
      </c>
      <c r="H265" s="57" t="s">
        <v>768</v>
      </c>
      <c r="I265" s="57" t="s">
        <v>768</v>
      </c>
      <c r="J265" s="57" t="s">
        <v>768</v>
      </c>
      <c r="M265" t="s">
        <v>723</v>
      </c>
      <c r="N265" s="58"/>
      <c r="O265" s="58"/>
      <c r="P265" s="58"/>
      <c r="Q265" s="59" t="str">
        <f ca="1">IF(Register[[#This Row],[Last Verified]]="","",TODAY()-Register[[#This Row],[Last Verified]])</f>
        <v/>
      </c>
      <c r="R26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serial, No location, Verify due</v>
      </c>
      <c r="T265" t="s">
        <v>1497</v>
      </c>
      <c r="U265" t="s">
        <v>1506</v>
      </c>
    </row>
    <row r="266" spans="1:21" x14ac:dyDescent="0.25">
      <c r="A266" t="s">
        <v>1507</v>
      </c>
      <c r="B266" t="s">
        <v>719</v>
      </c>
      <c r="D266" t="s">
        <v>1130</v>
      </c>
      <c r="F266" s="57" t="s">
        <v>571</v>
      </c>
      <c r="G266" s="57" t="s">
        <v>572</v>
      </c>
      <c r="H266" s="57" t="s">
        <v>768</v>
      </c>
      <c r="I266" s="57" t="s">
        <v>768</v>
      </c>
      <c r="J266" s="57" t="s">
        <v>768</v>
      </c>
      <c r="M266" t="s">
        <v>723</v>
      </c>
      <c r="N266" s="58"/>
      <c r="O266" s="58"/>
      <c r="P266" s="58"/>
      <c r="Q266" s="59" t="str">
        <f ca="1">IF(Register[[#This Row],[Last Verified]]="","",TODAY()-Register[[#This Row],[Last Verified]])</f>
        <v/>
      </c>
      <c r="R26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66" t="s">
        <v>1497</v>
      </c>
      <c r="U266" t="s">
        <v>1508</v>
      </c>
    </row>
    <row r="267" spans="1:21" x14ac:dyDescent="0.25">
      <c r="A267" t="s">
        <v>1509</v>
      </c>
      <c r="B267" t="s">
        <v>719</v>
      </c>
      <c r="D267" t="s">
        <v>1130</v>
      </c>
      <c r="F267" s="57" t="s">
        <v>573</v>
      </c>
      <c r="G267" s="57" t="s">
        <v>574</v>
      </c>
      <c r="H267" s="57" t="s">
        <v>768</v>
      </c>
      <c r="I267" s="57" t="s">
        <v>768</v>
      </c>
      <c r="J267" s="57" t="s">
        <v>768</v>
      </c>
      <c r="M267" t="s">
        <v>723</v>
      </c>
      <c r="N267" s="58"/>
      <c r="O267" s="58"/>
      <c r="P267" s="58"/>
      <c r="Q267" s="59" t="str">
        <f ca="1">IF(Register[[#This Row],[Last Verified]]="","",TODAY()-Register[[#This Row],[Last Verified]])</f>
        <v/>
      </c>
      <c r="R26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67" t="s">
        <v>1497</v>
      </c>
      <c r="U267" t="s">
        <v>1510</v>
      </c>
    </row>
    <row r="268" spans="1:21" x14ac:dyDescent="0.25">
      <c r="A268" t="s">
        <v>1511</v>
      </c>
      <c r="B268" t="s">
        <v>719</v>
      </c>
      <c r="C268" t="s">
        <v>576</v>
      </c>
      <c r="F268" s="57" t="s">
        <v>575</v>
      </c>
      <c r="G268" s="57" t="s">
        <v>577</v>
      </c>
      <c r="H268" s="57" t="s">
        <v>768</v>
      </c>
      <c r="I268" s="57" t="s">
        <v>768</v>
      </c>
      <c r="J268" s="57" t="s">
        <v>768</v>
      </c>
      <c r="M268" t="s">
        <v>723</v>
      </c>
      <c r="N268" s="58"/>
      <c r="O268" s="58"/>
      <c r="P268" s="58"/>
      <c r="Q268" s="59" t="str">
        <f ca="1">IF(Register[[#This Row],[Last Verified]]="","",TODAY()-Register[[#This Row],[Last Verified]])</f>
        <v/>
      </c>
      <c r="R26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68" t="s">
        <v>1497</v>
      </c>
      <c r="U268" t="s">
        <v>1512</v>
      </c>
    </row>
    <row r="269" spans="1:21" x14ac:dyDescent="0.25">
      <c r="A269" t="s">
        <v>1513</v>
      </c>
      <c r="B269" t="s">
        <v>719</v>
      </c>
      <c r="C269" t="s">
        <v>579</v>
      </c>
      <c r="D269" t="s">
        <v>1130</v>
      </c>
      <c r="F269" s="57" t="s">
        <v>578</v>
      </c>
      <c r="G269" s="57" t="s">
        <v>580</v>
      </c>
      <c r="H269" s="57" t="s">
        <v>768</v>
      </c>
      <c r="I269" s="57" t="s">
        <v>768</v>
      </c>
      <c r="J269" s="57" t="s">
        <v>768</v>
      </c>
      <c r="K269" t="s">
        <v>168</v>
      </c>
      <c r="M269" t="s">
        <v>723</v>
      </c>
      <c r="N269" s="58"/>
      <c r="O269" s="58"/>
      <c r="P269" s="58"/>
      <c r="Q269" s="59" t="str">
        <f ca="1">IF(Register[[#This Row],[Last Verified]]="","",TODAY()-Register[[#This Row],[Last Verified]])</f>
        <v/>
      </c>
      <c r="R26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69" t="s">
        <v>1514</v>
      </c>
      <c r="U269" t="s">
        <v>1515</v>
      </c>
    </row>
    <row r="270" spans="1:21" x14ac:dyDescent="0.25">
      <c r="A270" t="s">
        <v>1516</v>
      </c>
      <c r="B270" t="s">
        <v>719</v>
      </c>
      <c r="D270" t="s">
        <v>1130</v>
      </c>
      <c r="F270" s="57" t="s">
        <v>582</v>
      </c>
      <c r="G270" s="57" t="s">
        <v>583</v>
      </c>
      <c r="H270" s="57" t="s">
        <v>768</v>
      </c>
      <c r="I270" s="57" t="s">
        <v>768</v>
      </c>
      <c r="J270" s="57" t="s">
        <v>768</v>
      </c>
      <c r="M270" t="s">
        <v>723</v>
      </c>
      <c r="N270" s="58"/>
      <c r="O270" s="58"/>
      <c r="P270" s="58"/>
      <c r="Q270" s="59" t="str">
        <f ca="1">IF(Register[[#This Row],[Last Verified]]="","",TODAY()-Register[[#This Row],[Last Verified]])</f>
        <v/>
      </c>
      <c r="R27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0" t="s">
        <v>1497</v>
      </c>
      <c r="U270" t="s">
        <v>1517</v>
      </c>
    </row>
    <row r="271" spans="1:21" x14ac:dyDescent="0.25">
      <c r="A271" t="s">
        <v>1518</v>
      </c>
      <c r="B271" t="s">
        <v>719</v>
      </c>
      <c r="D271" t="s">
        <v>1130</v>
      </c>
      <c r="F271" s="57" t="s">
        <v>584</v>
      </c>
      <c r="G271" s="57" t="s">
        <v>768</v>
      </c>
      <c r="H271" s="57" t="s">
        <v>768</v>
      </c>
      <c r="I271" s="57" t="s">
        <v>768</v>
      </c>
      <c r="J271" s="57" t="s">
        <v>768</v>
      </c>
      <c r="M271" t="s">
        <v>723</v>
      </c>
      <c r="N271" s="58"/>
      <c r="O271" s="58"/>
      <c r="P271" s="58"/>
      <c r="Q271" s="59" t="str">
        <f ca="1">IF(Register[[#This Row],[Last Verified]]="","",TODAY()-Register[[#This Row],[Last Verified]])</f>
        <v/>
      </c>
      <c r="R27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1" t="s">
        <v>1497</v>
      </c>
      <c r="U271" t="s">
        <v>1519</v>
      </c>
    </row>
    <row r="272" spans="1:21" x14ac:dyDescent="0.25">
      <c r="A272" t="s">
        <v>1520</v>
      </c>
      <c r="B272" t="s">
        <v>719</v>
      </c>
      <c r="C272" t="s">
        <v>586</v>
      </c>
      <c r="F272" s="57" t="s">
        <v>585</v>
      </c>
      <c r="G272" s="57" t="s">
        <v>768</v>
      </c>
      <c r="H272" s="57" t="s">
        <v>768</v>
      </c>
      <c r="I272" s="57" t="s">
        <v>768</v>
      </c>
      <c r="J272" s="57" t="s">
        <v>768</v>
      </c>
      <c r="K272" t="s">
        <v>731</v>
      </c>
      <c r="M272" t="s">
        <v>723</v>
      </c>
      <c r="N272" s="58"/>
      <c r="O272" s="58"/>
      <c r="P272" s="58"/>
      <c r="Q272" s="59" t="str">
        <f ca="1">IF(Register[[#This Row],[Last Verified]]="","",TODAY()-Register[[#This Row],[Last Verified]])</f>
        <v/>
      </c>
      <c r="R27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72" t="s">
        <v>1521</v>
      </c>
      <c r="U272" t="s">
        <v>1522</v>
      </c>
    </row>
    <row r="273" spans="1:21" x14ac:dyDescent="0.25">
      <c r="A273" t="s">
        <v>1523</v>
      </c>
      <c r="B273" t="s">
        <v>719</v>
      </c>
      <c r="C273" t="s">
        <v>589</v>
      </c>
      <c r="F273" s="57" t="s">
        <v>588</v>
      </c>
      <c r="G273" s="57" t="s">
        <v>590</v>
      </c>
      <c r="H273" s="57" t="s">
        <v>768</v>
      </c>
      <c r="I273" s="57" t="s">
        <v>768</v>
      </c>
      <c r="J273" s="57" t="s">
        <v>768</v>
      </c>
      <c r="M273" t="s">
        <v>723</v>
      </c>
      <c r="N273" s="58"/>
      <c r="O273" s="58"/>
      <c r="P273" s="58"/>
      <c r="Q273" s="59" t="str">
        <f ca="1">IF(Register[[#This Row],[Last Verified]]="","",TODAY()-Register[[#This Row],[Last Verified]])</f>
        <v/>
      </c>
      <c r="R27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3" t="s">
        <v>1497</v>
      </c>
      <c r="U273" t="s">
        <v>1524</v>
      </c>
    </row>
    <row r="274" spans="1:21" x14ac:dyDescent="0.25">
      <c r="A274" t="s">
        <v>1525</v>
      </c>
      <c r="B274" t="s">
        <v>719</v>
      </c>
      <c r="C274" t="s">
        <v>592</v>
      </c>
      <c r="F274" s="57" t="s">
        <v>591</v>
      </c>
      <c r="G274" s="57" t="s">
        <v>768</v>
      </c>
      <c r="H274" s="57" t="s">
        <v>768</v>
      </c>
      <c r="I274" s="57" t="s">
        <v>768</v>
      </c>
      <c r="J274" s="57" t="s">
        <v>768</v>
      </c>
      <c r="M274" t="s">
        <v>723</v>
      </c>
      <c r="N274" s="58"/>
      <c r="O274" s="58"/>
      <c r="P274" s="58"/>
      <c r="Q274" s="59" t="str">
        <f ca="1">IF(Register[[#This Row],[Last Verified]]="","",TODAY()-Register[[#This Row],[Last Verified]])</f>
        <v/>
      </c>
      <c r="R27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4" t="s">
        <v>1497</v>
      </c>
      <c r="U274" t="s">
        <v>1526</v>
      </c>
    </row>
    <row r="275" spans="1:21" x14ac:dyDescent="0.25">
      <c r="A275" t="s">
        <v>1527</v>
      </c>
      <c r="B275" t="s">
        <v>719</v>
      </c>
      <c r="C275" t="s">
        <v>594</v>
      </c>
      <c r="F275" s="57" t="s">
        <v>593</v>
      </c>
      <c r="G275" s="57" t="s">
        <v>595</v>
      </c>
      <c r="H275" s="57" t="s">
        <v>768</v>
      </c>
      <c r="I275" s="57" t="s">
        <v>768</v>
      </c>
      <c r="J275" s="57" t="s">
        <v>768</v>
      </c>
      <c r="M275" t="s">
        <v>723</v>
      </c>
      <c r="N275" s="58"/>
      <c r="O275" s="58"/>
      <c r="P275" s="58"/>
      <c r="Q275" s="59" t="str">
        <f ca="1">IF(Register[[#This Row],[Last Verified]]="","",TODAY()-Register[[#This Row],[Last Verified]])</f>
        <v/>
      </c>
      <c r="R275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5" t="s">
        <v>1497</v>
      </c>
      <c r="U275" t="s">
        <v>1528</v>
      </c>
    </row>
    <row r="276" spans="1:21" x14ac:dyDescent="0.25">
      <c r="A276" t="s">
        <v>1529</v>
      </c>
      <c r="B276" t="s">
        <v>719</v>
      </c>
      <c r="C276" t="s">
        <v>597</v>
      </c>
      <c r="F276" s="57" t="s">
        <v>596</v>
      </c>
      <c r="G276" s="57" t="s">
        <v>768</v>
      </c>
      <c r="H276" s="57" t="s">
        <v>768</v>
      </c>
      <c r="I276" s="57" t="s">
        <v>768</v>
      </c>
      <c r="J276" s="57" t="s">
        <v>768</v>
      </c>
      <c r="M276" t="s">
        <v>723</v>
      </c>
      <c r="N276" s="58"/>
      <c r="O276" s="58"/>
      <c r="P276" s="58"/>
      <c r="Q276" s="59" t="str">
        <f ca="1">IF(Register[[#This Row],[Last Verified]]="","",TODAY()-Register[[#This Row],[Last Verified]])</f>
        <v/>
      </c>
      <c r="R276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6" t="s">
        <v>1497</v>
      </c>
      <c r="U276" t="s">
        <v>1530</v>
      </c>
    </row>
    <row r="277" spans="1:21" x14ac:dyDescent="0.25">
      <c r="A277" t="s">
        <v>1531</v>
      </c>
      <c r="B277" t="s">
        <v>719</v>
      </c>
      <c r="C277" t="s">
        <v>599</v>
      </c>
      <c r="F277" s="57" t="s">
        <v>598</v>
      </c>
      <c r="G277" s="57" t="s">
        <v>600</v>
      </c>
      <c r="H277" s="57" t="s">
        <v>768</v>
      </c>
      <c r="I277" s="57" t="s">
        <v>768</v>
      </c>
      <c r="J277" s="57" t="s">
        <v>768</v>
      </c>
      <c r="K277" t="s">
        <v>520</v>
      </c>
      <c r="M277" t="s">
        <v>723</v>
      </c>
      <c r="N277" s="58"/>
      <c r="O277" s="58"/>
      <c r="P277" s="58"/>
      <c r="Q277" s="59" t="str">
        <f ca="1">IF(Register[[#This Row],[Last Verified]]="","",TODAY()-Register[[#This Row],[Last Verified]])</f>
        <v/>
      </c>
      <c r="R277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77" t="s">
        <v>1532</v>
      </c>
      <c r="U277" t="s">
        <v>1533</v>
      </c>
    </row>
    <row r="278" spans="1:21" x14ac:dyDescent="0.25">
      <c r="A278" t="s">
        <v>1534</v>
      </c>
      <c r="B278" t="s">
        <v>719</v>
      </c>
      <c r="F278" s="57" t="s">
        <v>602</v>
      </c>
      <c r="G278" s="57" t="s">
        <v>603</v>
      </c>
      <c r="H278" s="57" t="s">
        <v>768</v>
      </c>
      <c r="I278" s="57" t="s">
        <v>768</v>
      </c>
      <c r="J278" s="57" t="s">
        <v>768</v>
      </c>
      <c r="M278" t="s">
        <v>723</v>
      </c>
      <c r="N278" s="58"/>
      <c r="O278" s="58"/>
      <c r="P278" s="58"/>
      <c r="Q278" s="59" t="str">
        <f ca="1">IF(Register[[#This Row],[Last Verified]]="","",TODAY()-Register[[#This Row],[Last Verified]])</f>
        <v/>
      </c>
      <c r="R278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8" t="s">
        <v>1497</v>
      </c>
      <c r="U278" t="s">
        <v>1535</v>
      </c>
    </row>
    <row r="279" spans="1:21" x14ac:dyDescent="0.25">
      <c r="A279" t="s">
        <v>1536</v>
      </c>
      <c r="B279" t="s">
        <v>719</v>
      </c>
      <c r="C279" t="s">
        <v>605</v>
      </c>
      <c r="F279" s="57" t="s">
        <v>604</v>
      </c>
      <c r="G279" s="57" t="s">
        <v>606</v>
      </c>
      <c r="H279" s="57" t="s">
        <v>768</v>
      </c>
      <c r="I279" s="57" t="s">
        <v>768</v>
      </c>
      <c r="J279" s="57" t="s">
        <v>768</v>
      </c>
      <c r="M279" t="s">
        <v>723</v>
      </c>
      <c r="N279" s="58"/>
      <c r="O279" s="58"/>
      <c r="P279" s="58"/>
      <c r="Q279" s="59" t="str">
        <f ca="1">IF(Register[[#This Row],[Last Verified]]="","",TODAY()-Register[[#This Row],[Last Verified]])</f>
        <v/>
      </c>
      <c r="R279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79" t="s">
        <v>1497</v>
      </c>
      <c r="U279" t="s">
        <v>1537</v>
      </c>
    </row>
    <row r="280" spans="1:21" x14ac:dyDescent="0.25">
      <c r="A280" t="s">
        <v>1538</v>
      </c>
      <c r="B280" t="s">
        <v>719</v>
      </c>
      <c r="F280" s="57" t="s">
        <v>607</v>
      </c>
      <c r="G280" s="57" t="s">
        <v>608</v>
      </c>
      <c r="H280" s="57" t="s">
        <v>768</v>
      </c>
      <c r="I280" s="57" t="s">
        <v>768</v>
      </c>
      <c r="J280" s="57" t="s">
        <v>768</v>
      </c>
      <c r="M280" t="s">
        <v>723</v>
      </c>
      <c r="N280" s="58"/>
      <c r="O280" s="58"/>
      <c r="P280" s="58"/>
      <c r="Q280" s="59" t="str">
        <f ca="1">IF(Register[[#This Row],[Last Verified]]="","",TODAY()-Register[[#This Row],[Last Verified]])</f>
        <v/>
      </c>
      <c r="R280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80" t="s">
        <v>1497</v>
      </c>
      <c r="U280" t="s">
        <v>1539</v>
      </c>
    </row>
    <row r="281" spans="1:21" x14ac:dyDescent="0.25">
      <c r="A281" t="s">
        <v>1540</v>
      </c>
      <c r="B281" t="s">
        <v>719</v>
      </c>
      <c r="C281" t="s">
        <v>610</v>
      </c>
      <c r="F281" s="57" t="s">
        <v>609</v>
      </c>
      <c r="G281" s="57" t="s">
        <v>611</v>
      </c>
      <c r="H281" s="57" t="s">
        <v>768</v>
      </c>
      <c r="I281" s="57" t="s">
        <v>768</v>
      </c>
      <c r="J281" s="57" t="s">
        <v>768</v>
      </c>
      <c r="M281" t="s">
        <v>723</v>
      </c>
      <c r="N281" s="58"/>
      <c r="O281" s="58"/>
      <c r="P281" s="58"/>
      <c r="Q281" s="59" t="str">
        <f ca="1">IF(Register[[#This Row],[Last Verified]]="","",TODAY()-Register[[#This Row],[Last Verified]])</f>
        <v/>
      </c>
      <c r="R281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81" t="s">
        <v>1497</v>
      </c>
      <c r="U281" t="s">
        <v>1541</v>
      </c>
    </row>
    <row r="282" spans="1:21" x14ac:dyDescent="0.25">
      <c r="A282" t="s">
        <v>1542</v>
      </c>
      <c r="B282" t="s">
        <v>719</v>
      </c>
      <c r="C282" t="s">
        <v>613</v>
      </c>
      <c r="F282" s="57" t="s">
        <v>612</v>
      </c>
      <c r="G282" s="57" t="s">
        <v>614</v>
      </c>
      <c r="H282" s="57" t="s">
        <v>768</v>
      </c>
      <c r="I282" s="57" t="s">
        <v>768</v>
      </c>
      <c r="J282" s="57" t="s">
        <v>768</v>
      </c>
      <c r="K282" t="s">
        <v>520</v>
      </c>
      <c r="M282" t="s">
        <v>723</v>
      </c>
      <c r="N282" s="58"/>
      <c r="O282" s="58"/>
      <c r="P282" s="58"/>
      <c r="Q282" s="59" t="str">
        <f ca="1">IF(Register[[#This Row],[Last Verified]]="","",TODAY()-Register[[#This Row],[Last Verified]])</f>
        <v/>
      </c>
      <c r="R282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Verify due</v>
      </c>
      <c r="T282" t="s">
        <v>1543</v>
      </c>
      <c r="U282" t="s">
        <v>1544</v>
      </c>
    </row>
    <row r="283" spans="1:21" x14ac:dyDescent="0.25">
      <c r="A283" t="s">
        <v>1545</v>
      </c>
      <c r="B283" t="s">
        <v>719</v>
      </c>
      <c r="C283" t="s">
        <v>617</v>
      </c>
      <c r="F283" s="57" t="s">
        <v>616</v>
      </c>
      <c r="G283" s="57" t="s">
        <v>768</v>
      </c>
      <c r="H283" s="57" t="s">
        <v>768</v>
      </c>
      <c r="I283" s="57" t="s">
        <v>768</v>
      </c>
      <c r="J283" s="57" t="s">
        <v>768</v>
      </c>
      <c r="M283" t="s">
        <v>723</v>
      </c>
      <c r="N283" s="58"/>
      <c r="O283" s="58"/>
      <c r="P283" s="58"/>
      <c r="Q283" s="59" t="str">
        <f ca="1">IF(Register[[#This Row],[Last Verified]]="","",TODAY()-Register[[#This Row],[Last Verified]])</f>
        <v/>
      </c>
      <c r="R283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83" t="s">
        <v>1497</v>
      </c>
      <c r="U283" t="s">
        <v>1546</v>
      </c>
    </row>
    <row r="284" spans="1:21" x14ac:dyDescent="0.25">
      <c r="A284" t="s">
        <v>1547</v>
      </c>
      <c r="B284" t="s">
        <v>719</v>
      </c>
      <c r="C284" t="s">
        <v>619</v>
      </c>
      <c r="F284" s="57" t="s">
        <v>618</v>
      </c>
      <c r="G284" s="57" t="s">
        <v>768</v>
      </c>
      <c r="H284" s="57" t="s">
        <v>768</v>
      </c>
      <c r="I284" s="57" t="s">
        <v>768</v>
      </c>
      <c r="J284" s="57" t="s">
        <v>768</v>
      </c>
      <c r="M284" t="s">
        <v>723</v>
      </c>
      <c r="N284" s="58"/>
      <c r="O284" s="58"/>
      <c r="P284" s="58"/>
      <c r="Q284" s="59" t="str">
        <f ca="1">IF(Register[[#This Row],[Last Verified]]="","",TODAY()-Register[[#This Row],[Last Verified]])</f>
        <v/>
      </c>
      <c r="R284" t="str">
        <f ca="1">_xlfn.TEXTJOIN(", ",TRUE,IF(Register[[#This Row],[Serial / IMEI]]="","No serial",""),IF(AND(Register[[#This Row],[Serial / IMEI]]&lt;&gt;"",COUNTIF(Register[Serial / IMEI],Register[[#This Row],[Serial / IMEI]])&gt;1),"Duplicate serial",""),IF(AND(Register[[#This Row],[Asset Type]]&lt;&gt;"VHF",COUNTIFS(Register[Device Name / Code],Register[[#This Row],[Device Name / Code]],Register[Asset Type],Register[[#This Row],[Asset Type]])&gt;1),"Duplicate name",""),IF(Register[[#This Row],[Location]]="","No location",""),IF(OR(Register[[#This Row],[Last Verified]]="",N(Register[[#This Row],[Days Since Verified]])&gt;VerifyDays),"Verify due",""))</f>
        <v>No location, Verify due</v>
      </c>
      <c r="T284" t="s">
        <v>1497</v>
      </c>
      <c r="U284" t="s">
        <v>1548</v>
      </c>
    </row>
  </sheetData>
  <conditionalFormatting sqref="M5:M284">
    <cfRule type="beginsWith" dxfId="11" priority="1" operator="beginsWith" text="In Use">
      <formula>LEFT(M5,LEN("In Use"))="In Use"</formula>
    </cfRule>
  </conditionalFormatting>
  <conditionalFormatting sqref="M5:M284">
    <cfRule type="beginsWith" dxfId="10" priority="2" operator="beginsWith" text="In Stock">
      <formula>LEFT(M5,LEN("In Stock"))="In Stock"</formula>
    </cfRule>
  </conditionalFormatting>
  <conditionalFormatting sqref="M5:M284">
    <cfRule type="beginsWith" dxfId="9" priority="3" operator="beginsWith" text="Under Repair">
      <formula>LEFT(M5,LEN("Under Repair"))="Under Repair"</formula>
    </cfRule>
  </conditionalFormatting>
  <conditionalFormatting sqref="M5:M284">
    <cfRule type="beginsWith" dxfId="8" priority="4" operator="beginsWith" text="Damaged">
      <formula>LEFT(M5,LEN("Damaged"))="Damaged"</formula>
    </cfRule>
  </conditionalFormatting>
  <conditionalFormatting sqref="M5:M284">
    <cfRule type="beginsWith" dxfId="7" priority="5" operator="beginsWith" text="Unverified">
      <formula>LEFT(M5,LEN("Unverified"))="Unverified"</formula>
    </cfRule>
  </conditionalFormatting>
  <conditionalFormatting sqref="M5:M284">
    <cfRule type="beginsWith" dxfId="6" priority="6" operator="beginsWith" text="Lost">
      <formula>LEFT(M5,LEN("Lost"))="Lost"</formula>
    </cfRule>
  </conditionalFormatting>
  <conditionalFormatting sqref="R5:R284">
    <cfRule type="containsText" dxfId="5" priority="7" operator="containsText" text="Duplicate">
      <formula>NOT(ISERROR(SEARCH("Duplicate",R5)))</formula>
    </cfRule>
  </conditionalFormatting>
  <dataValidations count="3">
    <dataValidation type="list" errorStyle="warning" allowBlank="1" showInputMessage="1" showErrorMessage="1" errorTitle="Not in list" error="Value is not in the Lists tab. Add it there if it's new." sqref="B5:B284" xr:uid="{CB645674-861F-4C2D-9EC6-820DDA595FE7}">
      <formula1>lstType</formula1>
    </dataValidation>
    <dataValidation type="list" errorStyle="warning" allowBlank="1" showInputMessage="1" showErrorMessage="1" errorTitle="Not in list" error="Value is not in the Lists tab. Add it there if it's new." sqref="M5:M284" xr:uid="{883B91B9-B8AD-4FCB-BDF5-0DE5A37915D8}">
      <formula1>lstStatus</formula1>
    </dataValidation>
    <dataValidation type="list" errorStyle="warning" allowBlank="1" showInputMessage="1" showErrorMessage="1" errorTitle="Not in list" error="Value is not in the Lists tab. Add it there if it's new." sqref="K5:K284" xr:uid="{C911AFEF-5453-4E35-8A2B-CB50E8692979}">
      <formula1>lstLocation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0D7C-3488-4F36-904F-A9A10F3353B5}">
  <dimension ref="A1:K5"/>
  <sheetViews>
    <sheetView workbookViewId="0">
      <pane ySplit="4" topLeftCell="A5" activePane="bottomLeft" state="frozen"/>
      <selection pane="bottomLeft" activeCell="J5" sqref="J5"/>
    </sheetView>
  </sheetViews>
  <sheetFormatPr defaultRowHeight="15" x14ac:dyDescent="0.25"/>
  <cols>
    <col min="1" max="2" width="15.28515625" customWidth="1"/>
    <col min="3" max="3" width="30.42578125" customWidth="1"/>
    <col min="4" max="4" width="15.28515625" customWidth="1"/>
    <col min="5" max="5" width="18.140625" customWidth="1"/>
    <col min="6" max="7" width="21" customWidth="1"/>
    <col min="8" max="8" width="24.7109375" customWidth="1"/>
    <col min="9" max="9" width="19" customWidth="1"/>
    <col min="10" max="10" width="47.5703125" customWidth="1"/>
    <col min="11" max="11" width="22.85546875" customWidth="1"/>
  </cols>
  <sheetData>
    <row r="1" spans="1:11" ht="21" x14ac:dyDescent="0.35">
      <c r="A1" s="55" t="s">
        <v>1549</v>
      </c>
    </row>
    <row r="2" spans="1:11" x14ac:dyDescent="0.25">
      <c r="A2" s="56" t="s">
        <v>1559</v>
      </c>
    </row>
    <row r="4" spans="1:11" x14ac:dyDescent="0.25">
      <c r="A4" t="s">
        <v>1550</v>
      </c>
      <c r="B4" t="s">
        <v>748</v>
      </c>
      <c r="C4" t="s">
        <v>1551</v>
      </c>
      <c r="D4" t="s">
        <v>711</v>
      </c>
      <c r="E4" t="s">
        <v>1552</v>
      </c>
      <c r="F4" t="s">
        <v>1553</v>
      </c>
      <c r="G4" t="s">
        <v>1554</v>
      </c>
      <c r="H4" t="s">
        <v>1555</v>
      </c>
      <c r="I4" t="s">
        <v>1556</v>
      </c>
      <c r="J4" t="s">
        <v>1557</v>
      </c>
      <c r="K4" t="s">
        <v>1558</v>
      </c>
    </row>
    <row r="5" spans="1:11" x14ac:dyDescent="0.25">
      <c r="A5" s="58"/>
      <c r="C5" s="61" t="str">
        <f>IF(MoveLog[[#This Row],[Asset ID]]="","",_xlfn.XLOOKUP(MoveLog[[#This Row],[Asset ID]],Register[Asset ID],Register[Device Name / Code],"Not found"))</f>
        <v/>
      </c>
      <c r="D5" s="61" t="str">
        <f>IF(MoveLog[[#This Row],[Asset ID]]="","",_xlfn.XLOOKUP(MoveLog[[#This Row],[Asset ID]],Register[Asset ID],Register[Asset Type],"Not found"))</f>
        <v/>
      </c>
      <c r="E5" t="s">
        <v>732</v>
      </c>
      <c r="K5" s="61" t="str">
        <f>IF(MoveLog[[#This Row],[Asset ID]]="","",_xlfn.XLOOKUP(MoveLog[[#This Row],[Asset ID]],Register[Asset ID],Register[Location],"")&amp;"")</f>
        <v/>
      </c>
    </row>
  </sheetData>
  <dataValidations count="4">
    <dataValidation type="list" allowBlank="1" showInputMessage="1" showErrorMessage="1" sqref="E5" xr:uid="{E1C55906-0172-49FD-B430-ED0EAB810091}">
      <formula1>lstAction</formula1>
    </dataValidation>
    <dataValidation type="list" allowBlank="1" showInputMessage="1" showErrorMessage="1" errorTitle="Unknown Asset ID" error="Pick an Asset ID that exists on the Asset Register (e.g. TAB8-001)." sqref="B5" xr:uid="{0AF75208-7724-4E0C-94F6-9DF69247A84D}">
      <formula1>lstAssetID</formula1>
    </dataValidation>
    <dataValidation type="list" errorStyle="warning" allowBlank="1" showInputMessage="1" showErrorMessage="1" errorTitle="Not in list" error="Location not in Lists tab." sqref="F5" xr:uid="{D39EDC0C-7E20-465A-B68D-225322B73313}">
      <formula1>lstLocation</formula1>
    </dataValidation>
    <dataValidation type="list" errorStyle="warning" allowBlank="1" showInputMessage="1" showErrorMessage="1" errorTitle="Not in list" error="Location not in Lists tab." sqref="G5" xr:uid="{59653CE1-D401-4970-A142-CAADEDBD205E}">
      <formula1>lstLocation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2D57-1367-4704-98EF-39B29FBEE523}">
  <dimension ref="A1:G17"/>
  <sheetViews>
    <sheetView workbookViewId="0"/>
  </sheetViews>
  <sheetFormatPr defaultRowHeight="15" x14ac:dyDescent="0.25"/>
  <cols>
    <col min="1" max="5" width="21" customWidth="1"/>
    <col min="6" max="6" width="24.7109375" customWidth="1"/>
  </cols>
  <sheetData>
    <row r="1" spans="1:7" x14ac:dyDescent="0.25">
      <c r="A1" s="53" t="s">
        <v>711</v>
      </c>
      <c r="B1" s="53" t="s">
        <v>712</v>
      </c>
      <c r="C1" s="53" t="s">
        <v>174</v>
      </c>
      <c r="D1" s="53" t="s">
        <v>713</v>
      </c>
      <c r="E1" s="53" t="s">
        <v>714</v>
      </c>
      <c r="F1" s="53" t="s">
        <v>715</v>
      </c>
    </row>
    <row r="2" spans="1:7" x14ac:dyDescent="0.25">
      <c r="A2" t="s">
        <v>716</v>
      </c>
      <c r="B2" t="s">
        <v>720</v>
      </c>
      <c r="C2" t="s">
        <v>520</v>
      </c>
      <c r="D2" t="s">
        <v>732</v>
      </c>
      <c r="E2" t="s">
        <v>11</v>
      </c>
      <c r="F2" t="s">
        <v>742</v>
      </c>
      <c r="G2" s="52">
        <v>90</v>
      </c>
    </row>
    <row r="3" spans="1:7" x14ac:dyDescent="0.25">
      <c r="A3" t="s">
        <v>717</v>
      </c>
      <c r="B3" t="s">
        <v>721</v>
      </c>
      <c r="C3" t="s">
        <v>168</v>
      </c>
      <c r="D3" t="s">
        <v>733</v>
      </c>
      <c r="E3" t="s">
        <v>206</v>
      </c>
      <c r="F3" t="s">
        <v>743</v>
      </c>
      <c r="G3" t="s">
        <v>744</v>
      </c>
    </row>
    <row r="4" spans="1:7" x14ac:dyDescent="0.25">
      <c r="A4" t="s">
        <v>718</v>
      </c>
      <c r="B4" t="s">
        <v>722</v>
      </c>
      <c r="C4" t="s">
        <v>727</v>
      </c>
      <c r="D4" t="s">
        <v>734</v>
      </c>
      <c r="E4" t="s">
        <v>124</v>
      </c>
    </row>
    <row r="5" spans="1:7" x14ac:dyDescent="0.25">
      <c r="A5" t="s">
        <v>719</v>
      </c>
      <c r="B5" t="s">
        <v>171</v>
      </c>
      <c r="C5" t="s">
        <v>382</v>
      </c>
      <c r="D5" t="s">
        <v>735</v>
      </c>
      <c r="E5" t="s">
        <v>741</v>
      </c>
    </row>
    <row r="6" spans="1:7" x14ac:dyDescent="0.25">
      <c r="B6" t="s">
        <v>723</v>
      </c>
      <c r="C6" t="s">
        <v>170</v>
      </c>
      <c r="D6" t="s">
        <v>736</v>
      </c>
    </row>
    <row r="7" spans="1:7" x14ac:dyDescent="0.25">
      <c r="B7" t="s">
        <v>724</v>
      </c>
      <c r="C7" t="s">
        <v>728</v>
      </c>
      <c r="D7" t="s">
        <v>737</v>
      </c>
    </row>
    <row r="8" spans="1:7" x14ac:dyDescent="0.25">
      <c r="B8" t="s">
        <v>725</v>
      </c>
      <c r="C8" t="s">
        <v>729</v>
      </c>
      <c r="D8" t="s">
        <v>738</v>
      </c>
    </row>
    <row r="9" spans="1:7" x14ac:dyDescent="0.25">
      <c r="B9" t="s">
        <v>726</v>
      </c>
      <c r="C9" t="s">
        <v>250</v>
      </c>
      <c r="D9" t="s">
        <v>739</v>
      </c>
    </row>
    <row r="10" spans="1:7" x14ac:dyDescent="0.25">
      <c r="C10" t="s">
        <v>383</v>
      </c>
      <c r="D10" t="s">
        <v>740</v>
      </c>
    </row>
    <row r="11" spans="1:7" x14ac:dyDescent="0.25">
      <c r="C11" t="s">
        <v>730</v>
      </c>
    </row>
    <row r="12" spans="1:7" x14ac:dyDescent="0.25">
      <c r="C12" t="s">
        <v>380</v>
      </c>
    </row>
    <row r="13" spans="1:7" x14ac:dyDescent="0.25">
      <c r="C13" t="s">
        <v>731</v>
      </c>
    </row>
    <row r="14" spans="1:7" x14ac:dyDescent="0.25">
      <c r="C14" t="s">
        <v>437</v>
      </c>
    </row>
    <row r="15" spans="1:7" x14ac:dyDescent="0.25">
      <c r="C15" t="s">
        <v>459</v>
      </c>
    </row>
    <row r="16" spans="1:7" x14ac:dyDescent="0.25">
      <c r="C16" t="s">
        <v>411</v>
      </c>
    </row>
    <row r="17" spans="1:1" x14ac:dyDescent="0.25">
      <c r="A17" s="54" t="s">
        <v>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3763-DB39-45DE-98F2-E8B4D1D7980E}">
  <sheetPr>
    <pageSetUpPr fitToPage="1"/>
  </sheetPr>
  <dimension ref="A2:L58"/>
  <sheetViews>
    <sheetView zoomScale="115" zoomScaleNormal="115" workbookViewId="0">
      <selection activeCell="G20" sqref="G20"/>
    </sheetView>
  </sheetViews>
  <sheetFormatPr defaultRowHeight="17.25" customHeight="1" x14ac:dyDescent="0.25"/>
  <cols>
    <col min="1" max="1" width="10.7109375" style="5" customWidth="1"/>
    <col min="2" max="2" width="17.42578125" style="5" customWidth="1"/>
    <col min="3" max="3" width="20.85546875" style="5" bestFit="1" customWidth="1"/>
    <col min="4" max="4" width="20" style="5" bestFit="1" customWidth="1"/>
    <col min="5" max="5" width="29.140625" style="5" bestFit="1" customWidth="1"/>
    <col min="6" max="6" width="29.140625" style="5" customWidth="1"/>
    <col min="7" max="7" width="23.85546875" style="5" customWidth="1"/>
    <col min="8" max="8" width="20.7109375" style="5" bestFit="1" customWidth="1"/>
    <col min="9" max="9" width="52.28515625" style="5" bestFit="1" customWidth="1"/>
    <col min="10" max="10" width="42" style="5" customWidth="1"/>
    <col min="11" max="11" width="12.140625" style="5" customWidth="1"/>
    <col min="12" max="16384" width="9.140625" style="5"/>
  </cols>
  <sheetData>
    <row r="2" spans="1:12" ht="17.2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2" ht="17.25" customHeight="1" x14ac:dyDescent="0.25">
      <c r="A3" s="6" t="s">
        <v>10</v>
      </c>
      <c r="B3" s="6" t="s">
        <v>11</v>
      </c>
      <c r="C3" s="7">
        <v>350675291199268</v>
      </c>
      <c r="D3" s="6"/>
      <c r="E3" s="1" t="s">
        <v>12</v>
      </c>
      <c r="F3" s="6"/>
      <c r="G3" s="6" t="s">
        <v>13</v>
      </c>
      <c r="H3" s="6"/>
      <c r="I3" s="6" t="s">
        <v>14</v>
      </c>
      <c r="J3" s="1"/>
      <c r="K3" s="37" t="s">
        <v>15</v>
      </c>
      <c r="L3" s="39"/>
    </row>
    <row r="4" spans="1:12" ht="17.25" customHeight="1" x14ac:dyDescent="0.25">
      <c r="A4" s="18" t="s">
        <v>16</v>
      </c>
      <c r="B4" s="18" t="s">
        <v>11</v>
      </c>
      <c r="C4" s="19">
        <v>350675291330186</v>
      </c>
      <c r="D4" s="18"/>
      <c r="E4" s="1" t="s">
        <v>17</v>
      </c>
      <c r="F4" s="18"/>
      <c r="G4" s="18" t="s">
        <v>709</v>
      </c>
      <c r="H4" s="18"/>
      <c r="I4" s="18" t="s">
        <v>18</v>
      </c>
      <c r="J4" s="1"/>
      <c r="K4" s="38" t="s">
        <v>19</v>
      </c>
      <c r="L4" s="39"/>
    </row>
    <row r="5" spans="1:12" ht="17.25" customHeight="1" x14ac:dyDescent="0.25">
      <c r="A5" s="16" t="s">
        <v>20</v>
      </c>
      <c r="B5" s="16" t="s">
        <v>11</v>
      </c>
      <c r="C5" s="17">
        <v>350675291332695</v>
      </c>
      <c r="D5" s="16"/>
      <c r="E5" s="1" t="s">
        <v>21</v>
      </c>
      <c r="F5" s="16"/>
      <c r="G5" s="16" t="s">
        <v>22</v>
      </c>
      <c r="H5" s="16" t="s">
        <v>23</v>
      </c>
      <c r="I5" s="16" t="s">
        <v>14</v>
      </c>
      <c r="J5" s="1" t="s">
        <v>24</v>
      </c>
      <c r="K5" s="38" t="s">
        <v>25</v>
      </c>
      <c r="L5" s="39"/>
    </row>
    <row r="6" spans="1:12" ht="17.25" customHeight="1" x14ac:dyDescent="0.25">
      <c r="A6" s="18" t="s">
        <v>26</v>
      </c>
      <c r="B6" s="18" t="s">
        <v>11</v>
      </c>
      <c r="C6" s="19">
        <v>350675291222482</v>
      </c>
      <c r="D6" s="18"/>
      <c r="E6" s="1" t="s">
        <v>27</v>
      </c>
      <c r="F6" s="18"/>
      <c r="G6" s="18" t="s">
        <v>709</v>
      </c>
      <c r="H6" s="18"/>
      <c r="I6" s="18" t="s">
        <v>28</v>
      </c>
      <c r="J6" s="1"/>
      <c r="K6" s="38" t="s">
        <v>29</v>
      </c>
      <c r="L6" s="39"/>
    </row>
    <row r="7" spans="1:12" ht="17.25" customHeight="1" x14ac:dyDescent="0.25">
      <c r="A7" s="1" t="s">
        <v>30</v>
      </c>
      <c r="B7" s="1" t="s">
        <v>11</v>
      </c>
      <c r="C7" s="2">
        <v>350675291334022</v>
      </c>
      <c r="D7" s="1"/>
      <c r="E7" s="1" t="s">
        <v>31</v>
      </c>
      <c r="F7" s="1"/>
      <c r="G7" s="1"/>
      <c r="H7" s="1"/>
      <c r="I7" s="1" t="s">
        <v>708</v>
      </c>
      <c r="J7" s="1"/>
      <c r="K7" s="38" t="s">
        <v>32</v>
      </c>
      <c r="L7" s="39"/>
    </row>
    <row r="8" spans="1:12" ht="17.25" customHeight="1" x14ac:dyDescent="0.25">
      <c r="A8" s="12" t="s">
        <v>33</v>
      </c>
      <c r="B8" s="12" t="s">
        <v>11</v>
      </c>
      <c r="C8" s="13">
        <v>350675291228877</v>
      </c>
      <c r="D8" s="12"/>
      <c r="E8" s="50" t="s">
        <v>34</v>
      </c>
      <c r="F8" s="12"/>
      <c r="G8" s="12"/>
      <c r="H8" s="12"/>
      <c r="I8" s="12" t="s">
        <v>35</v>
      </c>
      <c r="J8" s="1"/>
      <c r="K8" s="38" t="s">
        <v>36</v>
      </c>
      <c r="L8" s="39"/>
    </row>
    <row r="9" spans="1:12" ht="17.25" customHeight="1" x14ac:dyDescent="0.25">
      <c r="A9" s="12" t="s">
        <v>37</v>
      </c>
      <c r="B9" s="12" t="s">
        <v>11</v>
      </c>
      <c r="C9" s="13">
        <v>350675291228992</v>
      </c>
      <c r="D9" s="12"/>
      <c r="E9" s="50" t="s">
        <v>38</v>
      </c>
      <c r="F9" s="12"/>
      <c r="G9" s="12"/>
      <c r="H9" s="12"/>
      <c r="I9" s="12" t="s">
        <v>35</v>
      </c>
      <c r="J9" s="1"/>
      <c r="K9" s="38" t="s">
        <v>39</v>
      </c>
      <c r="L9" s="39"/>
    </row>
    <row r="10" spans="1:12" ht="17.25" customHeight="1" x14ac:dyDescent="0.25">
      <c r="A10" s="8" t="s">
        <v>40</v>
      </c>
      <c r="B10" s="8" t="s">
        <v>11</v>
      </c>
      <c r="C10" s="9">
        <v>350675291331135</v>
      </c>
      <c r="D10" s="8"/>
      <c r="E10" s="1" t="s">
        <v>41</v>
      </c>
      <c r="F10" s="8"/>
      <c r="G10" s="8" t="s">
        <v>42</v>
      </c>
      <c r="H10" s="8"/>
      <c r="I10" s="8" t="s">
        <v>14</v>
      </c>
      <c r="J10" s="1"/>
      <c r="K10" s="38" t="s">
        <v>43</v>
      </c>
      <c r="L10" s="39"/>
    </row>
    <row r="11" spans="1:12" ht="17.25" customHeight="1" x14ac:dyDescent="0.25">
      <c r="A11" s="8" t="s">
        <v>44</v>
      </c>
      <c r="B11" s="8" t="s">
        <v>11</v>
      </c>
      <c r="C11" s="9">
        <v>350675291329451</v>
      </c>
      <c r="D11" s="8"/>
      <c r="E11" s="1" t="s">
        <v>45</v>
      </c>
      <c r="F11" s="8"/>
      <c r="G11" s="8" t="s">
        <v>42</v>
      </c>
      <c r="H11" s="8"/>
      <c r="I11" s="8" t="s">
        <v>14</v>
      </c>
      <c r="J11" s="1"/>
      <c r="K11" s="38" t="s">
        <v>46</v>
      </c>
      <c r="L11" s="39"/>
    </row>
    <row r="12" spans="1:12" ht="17.25" customHeight="1" x14ac:dyDescent="0.25">
      <c r="A12" s="14" t="s">
        <v>47</v>
      </c>
      <c r="B12" s="14" t="s">
        <v>11</v>
      </c>
      <c r="C12" s="15">
        <v>350675291331085</v>
      </c>
      <c r="D12" s="14"/>
      <c r="E12" s="1" t="s">
        <v>48</v>
      </c>
      <c r="F12" s="14"/>
      <c r="G12" s="14"/>
      <c r="H12" s="14"/>
      <c r="I12" s="14" t="s">
        <v>49</v>
      </c>
      <c r="J12" s="1"/>
      <c r="K12" s="38" t="s">
        <v>50</v>
      </c>
      <c r="L12" s="39"/>
    </row>
    <row r="13" spans="1:12" ht="17.25" customHeight="1" x14ac:dyDescent="0.25">
      <c r="A13" s="6" t="s">
        <v>51</v>
      </c>
      <c r="B13" s="6" t="s">
        <v>11</v>
      </c>
      <c r="C13" s="7">
        <v>350675291228844</v>
      </c>
      <c r="D13" s="6"/>
      <c r="E13" s="1" t="s">
        <v>52</v>
      </c>
      <c r="F13" s="6"/>
      <c r="G13" s="6" t="s">
        <v>13</v>
      </c>
      <c r="H13" s="6"/>
      <c r="I13" s="6" t="s">
        <v>14</v>
      </c>
      <c r="J13" s="1"/>
      <c r="K13" s="38" t="s">
        <v>53</v>
      </c>
      <c r="L13" s="39"/>
    </row>
    <row r="14" spans="1:12" ht="17.25" customHeight="1" x14ac:dyDescent="0.25">
      <c r="A14" s="3" t="s">
        <v>54</v>
      </c>
      <c r="B14" s="3" t="s">
        <v>11</v>
      </c>
      <c r="C14" s="4">
        <v>350675291332265</v>
      </c>
      <c r="D14" s="3"/>
      <c r="E14" s="1" t="s">
        <v>55</v>
      </c>
      <c r="F14" s="3"/>
      <c r="G14" s="3"/>
      <c r="H14" s="3"/>
      <c r="I14" s="3" t="s">
        <v>56</v>
      </c>
      <c r="J14" s="1"/>
      <c r="K14" s="38" t="s">
        <v>57</v>
      </c>
      <c r="L14" s="39"/>
    </row>
    <row r="15" spans="1:12" ht="17.25" customHeight="1" x14ac:dyDescent="0.25">
      <c r="A15" s="1" t="s">
        <v>58</v>
      </c>
      <c r="B15" s="1" t="s">
        <v>11</v>
      </c>
      <c r="C15" s="2">
        <v>350675291222417</v>
      </c>
      <c r="D15" s="1"/>
      <c r="E15" s="50" t="s">
        <v>59</v>
      </c>
      <c r="F15" s="1"/>
      <c r="G15" s="1" t="s">
        <v>60</v>
      </c>
      <c r="H15" s="1" t="s">
        <v>23</v>
      </c>
      <c r="I15" s="1" t="s">
        <v>61</v>
      </c>
      <c r="J15" s="1"/>
      <c r="K15" s="38" t="s">
        <v>62</v>
      </c>
      <c r="L15" s="39"/>
    </row>
    <row r="16" spans="1:12" ht="17.25" customHeight="1" x14ac:dyDescent="0.25">
      <c r="A16" s="3" t="s">
        <v>63</v>
      </c>
      <c r="B16" s="3" t="s">
        <v>11</v>
      </c>
      <c r="C16" s="4">
        <v>350675291222318</v>
      </c>
      <c r="D16" s="3"/>
      <c r="E16" s="1" t="s">
        <v>64</v>
      </c>
      <c r="F16" s="3"/>
      <c r="G16" s="3"/>
      <c r="H16" s="3"/>
      <c r="I16" s="3" t="s">
        <v>56</v>
      </c>
      <c r="J16" s="1"/>
      <c r="K16" s="38" t="s">
        <v>65</v>
      </c>
      <c r="L16" s="39"/>
    </row>
    <row r="17" spans="1:12" ht="17.25" customHeight="1" x14ac:dyDescent="0.25">
      <c r="A17" s="6" t="s">
        <v>66</v>
      </c>
      <c r="B17" s="6" t="s">
        <v>11</v>
      </c>
      <c r="C17" s="7">
        <v>350675291222557</v>
      </c>
      <c r="D17" s="6"/>
      <c r="E17" s="1" t="s">
        <v>67</v>
      </c>
      <c r="F17" s="6"/>
      <c r="G17" s="6" t="s">
        <v>13</v>
      </c>
      <c r="H17" s="6"/>
      <c r="I17" s="6" t="s">
        <v>14</v>
      </c>
      <c r="J17" s="1"/>
      <c r="K17" s="38" t="s">
        <v>68</v>
      </c>
      <c r="L17" s="39"/>
    </row>
    <row r="18" spans="1:12" ht="17.25" customHeight="1" x14ac:dyDescent="0.25">
      <c r="A18" s="1" t="s">
        <v>69</v>
      </c>
      <c r="B18" s="1" t="s">
        <v>11</v>
      </c>
      <c r="C18" s="2">
        <v>350675292375321</v>
      </c>
      <c r="D18" s="1" t="s">
        <v>70</v>
      </c>
      <c r="E18" s="1" t="s">
        <v>71</v>
      </c>
      <c r="F18" s="1"/>
      <c r="G18" s="1"/>
      <c r="H18" s="1"/>
      <c r="I18" s="1"/>
      <c r="J18" s="1"/>
      <c r="K18" s="38" t="s">
        <v>72</v>
      </c>
      <c r="L18" s="39"/>
    </row>
    <row r="19" spans="1:12" ht="17.25" customHeight="1" x14ac:dyDescent="0.25">
      <c r="A19" s="1" t="s">
        <v>73</v>
      </c>
      <c r="B19" s="1" t="s">
        <v>11</v>
      </c>
      <c r="C19" s="2">
        <v>350675292372179</v>
      </c>
      <c r="D19" s="1" t="s">
        <v>74</v>
      </c>
      <c r="E19" s="1" t="s">
        <v>75</v>
      </c>
      <c r="F19" s="1"/>
      <c r="G19" s="1"/>
      <c r="H19" s="1"/>
      <c r="I19" s="1"/>
      <c r="J19" s="1"/>
      <c r="K19" s="38" t="s">
        <v>76</v>
      </c>
      <c r="L19" s="39"/>
    </row>
    <row r="20" spans="1:12" ht="17.25" customHeight="1" x14ac:dyDescent="0.25">
      <c r="A20" s="1" t="s">
        <v>77</v>
      </c>
      <c r="B20" s="1" t="s">
        <v>11</v>
      </c>
      <c r="C20" s="2">
        <v>350675292375511</v>
      </c>
      <c r="D20" s="1" t="s">
        <v>78</v>
      </c>
      <c r="E20" s="1" t="s">
        <v>79</v>
      </c>
      <c r="F20" s="1"/>
      <c r="G20" s="1"/>
      <c r="H20" s="1"/>
      <c r="I20" s="1"/>
      <c r="J20" s="1"/>
      <c r="K20" s="38" t="s">
        <v>80</v>
      </c>
      <c r="L20" s="39"/>
    </row>
    <row r="21" spans="1:12" ht="17.25" customHeight="1" x14ac:dyDescent="0.25">
      <c r="A21" s="1" t="s">
        <v>81</v>
      </c>
      <c r="B21" s="1" t="s">
        <v>11</v>
      </c>
      <c r="C21" s="2">
        <v>350675292374688</v>
      </c>
      <c r="D21" s="1" t="s">
        <v>82</v>
      </c>
      <c r="E21" s="1" t="s">
        <v>83</v>
      </c>
      <c r="F21" s="1"/>
      <c r="G21" s="1"/>
      <c r="H21" s="1"/>
      <c r="I21" s="1"/>
      <c r="J21" s="1"/>
      <c r="K21" s="38" t="s">
        <v>84</v>
      </c>
      <c r="L21" s="39"/>
    </row>
    <row r="22" spans="1:12" ht="17.25" customHeight="1" x14ac:dyDescent="0.25">
      <c r="A22" s="16" t="s">
        <v>85</v>
      </c>
      <c r="B22" s="16" t="s">
        <v>11</v>
      </c>
      <c r="C22" s="17">
        <v>350675292367104</v>
      </c>
      <c r="D22" s="16" t="s">
        <v>86</v>
      </c>
      <c r="E22" s="1" t="s">
        <v>87</v>
      </c>
      <c r="F22" s="16"/>
      <c r="G22" s="16" t="s">
        <v>22</v>
      </c>
      <c r="H22" s="16" t="s">
        <v>23</v>
      </c>
      <c r="I22" s="16" t="s">
        <v>14</v>
      </c>
      <c r="J22" s="1" t="s">
        <v>24</v>
      </c>
      <c r="K22" s="38" t="s">
        <v>88</v>
      </c>
      <c r="L22" s="39"/>
    </row>
    <row r="23" spans="1:12" ht="17.25" customHeight="1" x14ac:dyDescent="0.25">
      <c r="A23" s="6" t="s">
        <v>89</v>
      </c>
      <c r="B23" s="6" t="s">
        <v>11</v>
      </c>
      <c r="C23" s="7">
        <v>350675292372864</v>
      </c>
      <c r="D23" s="6" t="s">
        <v>90</v>
      </c>
      <c r="E23" s="1" t="s">
        <v>91</v>
      </c>
      <c r="F23" s="6"/>
      <c r="G23" s="6" t="s">
        <v>13</v>
      </c>
      <c r="H23" s="6"/>
      <c r="I23" s="6" t="s">
        <v>14</v>
      </c>
      <c r="J23" s="1" t="s">
        <v>92</v>
      </c>
      <c r="K23" s="38" t="s">
        <v>93</v>
      </c>
      <c r="L23" s="39"/>
    </row>
    <row r="24" spans="1:12" ht="17.25" customHeight="1" x14ac:dyDescent="0.25">
      <c r="A24" s="16" t="s">
        <v>94</v>
      </c>
      <c r="B24" s="16" t="s">
        <v>11</v>
      </c>
      <c r="C24" s="17">
        <v>350675292371312</v>
      </c>
      <c r="D24" s="16" t="s">
        <v>95</v>
      </c>
      <c r="E24" s="1" t="s">
        <v>96</v>
      </c>
      <c r="F24" s="16"/>
      <c r="G24" s="16" t="s">
        <v>22</v>
      </c>
      <c r="H24" s="16" t="s">
        <v>23</v>
      </c>
      <c r="I24" s="16" t="s">
        <v>14</v>
      </c>
      <c r="J24" s="1" t="s">
        <v>24</v>
      </c>
      <c r="K24" s="38" t="s">
        <v>70</v>
      </c>
      <c r="L24" s="39"/>
    </row>
    <row r="25" spans="1:12" ht="17.25" customHeight="1" x14ac:dyDescent="0.25">
      <c r="A25" s="8" t="s">
        <v>97</v>
      </c>
      <c r="B25" s="8" t="s">
        <v>11</v>
      </c>
      <c r="C25" s="9">
        <v>350675292370603</v>
      </c>
      <c r="D25" s="8" t="s">
        <v>93</v>
      </c>
      <c r="E25" s="1" t="s">
        <v>98</v>
      </c>
      <c r="F25" s="8"/>
      <c r="G25" s="8" t="s">
        <v>42</v>
      </c>
      <c r="H25" s="8"/>
      <c r="I25" s="8" t="s">
        <v>14</v>
      </c>
      <c r="J25" s="1" t="s">
        <v>24</v>
      </c>
      <c r="K25" s="38" t="s">
        <v>99</v>
      </c>
      <c r="L25" s="39"/>
    </row>
    <row r="26" spans="1:12" ht="17.25" customHeight="1" x14ac:dyDescent="0.25">
      <c r="A26" s="1" t="s">
        <v>100</v>
      </c>
      <c r="B26" s="1" t="s">
        <v>11</v>
      </c>
      <c r="C26" s="2">
        <v>350675292372005</v>
      </c>
      <c r="D26" s="1" t="s">
        <v>88</v>
      </c>
      <c r="E26" s="50" t="s">
        <v>101</v>
      </c>
      <c r="F26" s="1"/>
      <c r="G26" s="1" t="s">
        <v>60</v>
      </c>
      <c r="H26" s="1"/>
      <c r="I26" s="1" t="s">
        <v>102</v>
      </c>
      <c r="J26" s="1"/>
      <c r="K26" s="38" t="s">
        <v>103</v>
      </c>
      <c r="L26" s="39"/>
    </row>
    <row r="27" spans="1:12" ht="17.25" customHeight="1" x14ac:dyDescent="0.25">
      <c r="A27" s="8" t="s">
        <v>104</v>
      </c>
      <c r="B27" s="8" t="s">
        <v>11</v>
      </c>
      <c r="C27" s="9">
        <v>350675292361289</v>
      </c>
      <c r="D27" s="8" t="s">
        <v>105</v>
      </c>
      <c r="E27" s="1" t="s">
        <v>106</v>
      </c>
      <c r="F27" s="8"/>
      <c r="G27" s="8" t="s">
        <v>42</v>
      </c>
      <c r="H27" s="8"/>
      <c r="I27" s="8" t="s">
        <v>710</v>
      </c>
      <c r="J27" s="1" t="s">
        <v>24</v>
      </c>
      <c r="K27" s="38" t="s">
        <v>78</v>
      </c>
      <c r="L27" s="39"/>
    </row>
    <row r="28" spans="1:12" ht="17.25" customHeight="1" x14ac:dyDescent="0.25">
      <c r="A28" s="6" t="s">
        <v>107</v>
      </c>
      <c r="B28" s="6" t="s">
        <v>11</v>
      </c>
      <c r="C28" s="7">
        <v>350675292378515</v>
      </c>
      <c r="D28" s="6" t="s">
        <v>99</v>
      </c>
      <c r="E28" s="1" t="s">
        <v>108</v>
      </c>
      <c r="F28" s="6"/>
      <c r="G28" s="6" t="s">
        <v>13</v>
      </c>
      <c r="H28" s="6"/>
      <c r="I28" s="6" t="s">
        <v>14</v>
      </c>
      <c r="J28" s="1"/>
      <c r="K28" s="38" t="s">
        <v>109</v>
      </c>
      <c r="L28" s="39"/>
    </row>
    <row r="29" spans="1:12" ht="17.25" customHeight="1" x14ac:dyDescent="0.25">
      <c r="A29" s="1" t="s">
        <v>110</v>
      </c>
      <c r="B29" s="1" t="s">
        <v>11</v>
      </c>
      <c r="C29" s="2">
        <v>350675292377301</v>
      </c>
      <c r="D29" s="1" t="s">
        <v>111</v>
      </c>
      <c r="E29" s="1" t="s">
        <v>112</v>
      </c>
      <c r="F29" s="1"/>
      <c r="G29" s="1"/>
      <c r="H29" s="1"/>
      <c r="I29" s="1"/>
      <c r="J29" s="1"/>
      <c r="K29" s="38" t="s">
        <v>113</v>
      </c>
      <c r="L29" s="39"/>
    </row>
    <row r="30" spans="1:12" ht="17.25" customHeight="1" x14ac:dyDescent="0.25">
      <c r="A30" s="1" t="s">
        <v>114</v>
      </c>
      <c r="B30" s="1" t="s">
        <v>11</v>
      </c>
      <c r="C30" s="2">
        <v>350675292373656</v>
      </c>
      <c r="D30" s="1" t="s">
        <v>115</v>
      </c>
      <c r="E30" s="1" t="s">
        <v>116</v>
      </c>
      <c r="F30" s="1"/>
      <c r="G30" s="1"/>
      <c r="H30" s="1"/>
      <c r="I30" s="1"/>
      <c r="J30" s="1"/>
      <c r="K30" s="38" t="s">
        <v>82</v>
      </c>
      <c r="L30" s="39"/>
    </row>
    <row r="31" spans="1:12" ht="17.25" customHeight="1" x14ac:dyDescent="0.25">
      <c r="A31" s="1" t="s">
        <v>117</v>
      </c>
      <c r="B31" s="1" t="s">
        <v>11</v>
      </c>
      <c r="C31" s="2">
        <v>350675292369043</v>
      </c>
      <c r="D31" s="1" t="s">
        <v>103</v>
      </c>
      <c r="E31" s="1" t="s">
        <v>118</v>
      </c>
      <c r="F31" s="1"/>
      <c r="G31" s="1"/>
      <c r="H31" s="1"/>
      <c r="I31" s="1"/>
      <c r="J31" s="1"/>
      <c r="K31" s="38" t="s">
        <v>119</v>
      </c>
      <c r="L31" s="39"/>
    </row>
    <row r="32" spans="1:12" ht="17.25" customHeight="1" x14ac:dyDescent="0.25">
      <c r="A32" s="18" t="s">
        <v>120</v>
      </c>
      <c r="B32" s="18" t="s">
        <v>11</v>
      </c>
      <c r="C32" s="19">
        <v>350675292372658</v>
      </c>
      <c r="D32" s="18" t="s">
        <v>113</v>
      </c>
      <c r="E32" s="1" t="s">
        <v>121</v>
      </c>
      <c r="F32" s="18" t="s">
        <v>122</v>
      </c>
      <c r="G32" s="18" t="s">
        <v>709</v>
      </c>
      <c r="H32" s="18"/>
      <c r="I32" s="18" t="s">
        <v>18</v>
      </c>
      <c r="J32" s="1"/>
      <c r="K32" s="38" t="s">
        <v>74</v>
      </c>
      <c r="L32" s="39"/>
    </row>
    <row r="33" spans="1:12" ht="17.25" customHeight="1" x14ac:dyDescent="0.25">
      <c r="A33" s="12" t="s">
        <v>123</v>
      </c>
      <c r="B33" s="12" t="s">
        <v>124</v>
      </c>
      <c r="C33" s="13">
        <v>350675292374803</v>
      </c>
      <c r="D33" s="12" t="s">
        <v>125</v>
      </c>
      <c r="E33" s="50" t="s">
        <v>126</v>
      </c>
      <c r="F33" s="12"/>
      <c r="G33" s="12"/>
      <c r="H33" s="12"/>
      <c r="I33" s="12" t="s">
        <v>127</v>
      </c>
      <c r="J33" s="1"/>
      <c r="K33" s="38" t="s">
        <v>111</v>
      </c>
      <c r="L33" s="39"/>
    </row>
    <row r="34" spans="1:12" ht="17.25" customHeight="1" x14ac:dyDescent="0.25">
      <c r="A34" s="12" t="s">
        <v>128</v>
      </c>
      <c r="B34" s="12" t="s">
        <v>124</v>
      </c>
      <c r="C34" s="13">
        <v>350675292376444</v>
      </c>
      <c r="D34" s="12" t="s">
        <v>129</v>
      </c>
      <c r="E34" s="50" t="s">
        <v>130</v>
      </c>
      <c r="F34" s="12"/>
      <c r="G34" s="12"/>
      <c r="H34" s="12"/>
      <c r="I34" s="12" t="s">
        <v>127</v>
      </c>
      <c r="J34" s="1"/>
      <c r="K34" s="38" t="s">
        <v>115</v>
      </c>
      <c r="L34" s="39"/>
    </row>
    <row r="35" spans="1:12" ht="17.25" customHeight="1" x14ac:dyDescent="0.25">
      <c r="A35" s="10" t="s">
        <v>131</v>
      </c>
      <c r="B35" s="10" t="s">
        <v>124</v>
      </c>
      <c r="C35" s="11">
        <v>350675292384000</v>
      </c>
      <c r="D35" s="10" t="s">
        <v>84</v>
      </c>
      <c r="E35" s="50" t="s">
        <v>132</v>
      </c>
      <c r="F35" s="10"/>
      <c r="G35" s="10"/>
      <c r="H35" s="10"/>
      <c r="I35" s="10" t="s">
        <v>133</v>
      </c>
      <c r="J35" s="1"/>
      <c r="K35" s="38" t="s">
        <v>134</v>
      </c>
      <c r="L35" s="39"/>
    </row>
    <row r="36" spans="1:12" ht="17.25" customHeight="1" x14ac:dyDescent="0.25">
      <c r="A36" s="10" t="s">
        <v>135</v>
      </c>
      <c r="B36" s="10" t="s">
        <v>124</v>
      </c>
      <c r="C36" s="11">
        <v>350675292367732</v>
      </c>
      <c r="D36" s="10" t="s">
        <v>119</v>
      </c>
      <c r="E36" s="50" t="s">
        <v>136</v>
      </c>
      <c r="F36" s="10"/>
      <c r="G36" s="10"/>
      <c r="H36" s="10"/>
      <c r="I36" s="10" t="s">
        <v>133</v>
      </c>
      <c r="J36" s="1"/>
      <c r="K36" s="38" t="s">
        <v>90</v>
      </c>
      <c r="L36" s="39"/>
    </row>
    <row r="37" spans="1:12" ht="17.25" customHeight="1" x14ac:dyDescent="0.25">
      <c r="A37" s="10" t="s">
        <v>137</v>
      </c>
      <c r="B37" s="10" t="s">
        <v>124</v>
      </c>
      <c r="C37" s="11">
        <v>350675292373540</v>
      </c>
      <c r="D37" s="10" t="s">
        <v>109</v>
      </c>
      <c r="E37" s="50" t="s">
        <v>138</v>
      </c>
      <c r="F37" s="10"/>
      <c r="G37" s="10"/>
      <c r="H37" s="10"/>
      <c r="I37" s="10" t="s">
        <v>133</v>
      </c>
      <c r="J37" s="1"/>
      <c r="K37" s="38" t="s">
        <v>86</v>
      </c>
      <c r="L37" s="39"/>
    </row>
    <row r="38" spans="1:12" ht="17.25" customHeight="1" x14ac:dyDescent="0.25">
      <c r="A38" s="10" t="s">
        <v>139</v>
      </c>
      <c r="B38" s="10" t="s">
        <v>124</v>
      </c>
      <c r="C38" s="11">
        <v>350675292367625</v>
      </c>
      <c r="D38" s="10" t="s">
        <v>140</v>
      </c>
      <c r="E38" s="50" t="s">
        <v>141</v>
      </c>
      <c r="F38" s="10"/>
      <c r="G38" s="10"/>
      <c r="H38" s="10"/>
      <c r="I38" s="10" t="s">
        <v>133</v>
      </c>
      <c r="J38" s="1"/>
      <c r="K38" s="38" t="s">
        <v>95</v>
      </c>
      <c r="L38" s="39"/>
    </row>
    <row r="39" spans="1:12" ht="17.25" customHeight="1" x14ac:dyDescent="0.25">
      <c r="A39" s="10" t="s">
        <v>142</v>
      </c>
      <c r="B39" s="10" t="s">
        <v>124</v>
      </c>
      <c r="C39" s="11">
        <v>350675292372369</v>
      </c>
      <c r="D39" s="10" t="s">
        <v>143</v>
      </c>
      <c r="E39" s="50" t="s">
        <v>144</v>
      </c>
      <c r="F39" s="10"/>
      <c r="G39" s="10"/>
      <c r="H39" s="10"/>
      <c r="I39" s="10" t="s">
        <v>133</v>
      </c>
      <c r="J39" s="1"/>
      <c r="K39" s="38" t="s">
        <v>143</v>
      </c>
      <c r="L39" s="39"/>
    </row>
    <row r="40" spans="1:12" ht="17.25" customHeight="1" x14ac:dyDescent="0.25">
      <c r="A40" s="16" t="s">
        <v>145</v>
      </c>
      <c r="B40" s="16" t="s">
        <v>124</v>
      </c>
      <c r="C40" s="17">
        <v>350675292367831</v>
      </c>
      <c r="D40" s="16" t="s">
        <v>134</v>
      </c>
      <c r="E40" s="1" t="s">
        <v>146</v>
      </c>
      <c r="F40" s="16"/>
      <c r="G40" s="16" t="s">
        <v>22</v>
      </c>
      <c r="H40" s="16" t="s">
        <v>23</v>
      </c>
      <c r="I40" s="16" t="s">
        <v>14</v>
      </c>
      <c r="J40" s="1" t="s">
        <v>24</v>
      </c>
      <c r="K40" s="38" t="s">
        <v>105</v>
      </c>
      <c r="L40" s="39"/>
    </row>
    <row r="41" spans="1:12" ht="17.25" customHeight="1" x14ac:dyDescent="0.25">
      <c r="A41" s="16" t="s">
        <v>147</v>
      </c>
      <c r="B41" s="16" t="s">
        <v>124</v>
      </c>
      <c r="C41" s="17">
        <v>350675292372237</v>
      </c>
      <c r="D41" s="16" t="s">
        <v>148</v>
      </c>
      <c r="E41" s="1" t="s">
        <v>149</v>
      </c>
      <c r="F41" s="16"/>
      <c r="G41" s="16" t="s">
        <v>22</v>
      </c>
      <c r="H41" s="16" t="s">
        <v>23</v>
      </c>
      <c r="I41" s="16" t="s">
        <v>14</v>
      </c>
      <c r="J41" s="1" t="s">
        <v>24</v>
      </c>
      <c r="K41" s="38" t="s">
        <v>148</v>
      </c>
      <c r="L41" s="39"/>
    </row>
    <row r="42" spans="1:12" ht="17.25" customHeight="1" x14ac:dyDescent="0.25">
      <c r="A42" s="16" t="s">
        <v>150</v>
      </c>
      <c r="B42" s="16" t="s">
        <v>124</v>
      </c>
      <c r="C42" s="17">
        <v>350675292367609</v>
      </c>
      <c r="D42" s="16" t="s">
        <v>80</v>
      </c>
      <c r="E42" s="1" t="s">
        <v>151</v>
      </c>
      <c r="F42" s="16"/>
      <c r="G42" s="16" t="s">
        <v>22</v>
      </c>
      <c r="H42" s="16" t="s">
        <v>23</v>
      </c>
      <c r="I42" s="16" t="s">
        <v>14</v>
      </c>
      <c r="J42" s="1"/>
      <c r="K42" s="38" t="s">
        <v>140</v>
      </c>
      <c r="L42" s="39"/>
    </row>
    <row r="43" spans="1:12" ht="17.25" customHeight="1" x14ac:dyDescent="0.25">
      <c r="A43" s="6" t="s">
        <v>152</v>
      </c>
      <c r="B43" s="6" t="s">
        <v>124</v>
      </c>
      <c r="C43" s="7">
        <v>350675292330276</v>
      </c>
      <c r="D43" s="6" t="s">
        <v>72</v>
      </c>
      <c r="E43" s="1" t="s">
        <v>153</v>
      </c>
      <c r="F43" s="6"/>
      <c r="G43" s="6" t="s">
        <v>13</v>
      </c>
      <c r="H43" s="6" t="s">
        <v>23</v>
      </c>
      <c r="I43" s="6" t="s">
        <v>14</v>
      </c>
      <c r="J43" s="1"/>
      <c r="K43" s="38" t="s">
        <v>154</v>
      </c>
      <c r="L43" s="39"/>
    </row>
    <row r="44" spans="1:12" ht="17.25" customHeight="1" x14ac:dyDescent="0.25">
      <c r="A44" s="6" t="s">
        <v>155</v>
      </c>
      <c r="B44" s="6" t="s">
        <v>124</v>
      </c>
      <c r="C44" s="7">
        <v>350675292366171</v>
      </c>
      <c r="D44" s="6" t="s">
        <v>156</v>
      </c>
      <c r="E44" s="1" t="s">
        <v>157</v>
      </c>
      <c r="F44" s="6"/>
      <c r="G44" s="6" t="s">
        <v>13</v>
      </c>
      <c r="H44" s="6" t="s">
        <v>23</v>
      </c>
      <c r="I44" s="6" t="s">
        <v>14</v>
      </c>
      <c r="J44" s="1"/>
      <c r="K44" s="38" t="s">
        <v>158</v>
      </c>
      <c r="L44" s="39"/>
    </row>
    <row r="45" spans="1:12" ht="17.25" customHeight="1" x14ac:dyDescent="0.25">
      <c r="A45" s="8" t="s">
        <v>159</v>
      </c>
      <c r="B45" s="8" t="s">
        <v>124</v>
      </c>
      <c r="C45" s="9">
        <v>350675292365785</v>
      </c>
      <c r="D45" s="8" t="s">
        <v>158</v>
      </c>
      <c r="E45" s="1" t="s">
        <v>160</v>
      </c>
      <c r="F45" s="8"/>
      <c r="G45" s="8" t="s">
        <v>42</v>
      </c>
      <c r="H45" s="8"/>
      <c r="I45" s="8" t="s">
        <v>14</v>
      </c>
      <c r="J45" s="1" t="s">
        <v>24</v>
      </c>
      <c r="K45" s="38" t="s">
        <v>156</v>
      </c>
      <c r="L45" s="39"/>
    </row>
    <row r="46" spans="1:12" ht="17.25" customHeight="1" x14ac:dyDescent="0.25">
      <c r="A46" s="8" t="s">
        <v>161</v>
      </c>
      <c r="B46" s="8" t="s">
        <v>124</v>
      </c>
      <c r="C46" s="9">
        <v>350675292377137</v>
      </c>
      <c r="D46" s="8" t="s">
        <v>76</v>
      </c>
      <c r="E46" s="1" t="s">
        <v>162</v>
      </c>
      <c r="F46" s="8"/>
      <c r="G46" s="8" t="s">
        <v>42</v>
      </c>
      <c r="H46" s="8"/>
      <c r="I46" s="8" t="s">
        <v>14</v>
      </c>
      <c r="J46" s="1" t="s">
        <v>24</v>
      </c>
    </row>
    <row r="47" spans="1:12" ht="17.25" customHeight="1" x14ac:dyDescent="0.25">
      <c r="A47" s="8" t="s">
        <v>163</v>
      </c>
      <c r="B47" s="8" t="s">
        <v>124</v>
      </c>
      <c r="C47" s="9">
        <v>350675292371395</v>
      </c>
      <c r="D47" s="8" t="s">
        <v>154</v>
      </c>
      <c r="E47" s="1" t="s">
        <v>164</v>
      </c>
      <c r="F47" s="8"/>
      <c r="G47" s="8" t="s">
        <v>42</v>
      </c>
      <c r="H47" s="8"/>
      <c r="I47" s="8" t="s">
        <v>14</v>
      </c>
      <c r="J47" s="1" t="s">
        <v>24</v>
      </c>
    </row>
    <row r="48" spans="1:12" ht="17.25" customHeight="1" x14ac:dyDescent="0.25">
      <c r="A48" s="16" t="s">
        <v>165</v>
      </c>
      <c r="B48" s="16"/>
      <c r="C48" s="17">
        <v>357384190325461</v>
      </c>
      <c r="D48" s="16" t="s">
        <v>166</v>
      </c>
      <c r="E48" s="1"/>
      <c r="F48" s="16"/>
      <c r="G48" s="16" t="s">
        <v>167</v>
      </c>
      <c r="H48" s="16"/>
      <c r="I48" s="16" t="s">
        <v>14</v>
      </c>
      <c r="J48" s="1"/>
    </row>
    <row r="52" spans="2:7" ht="17.25" customHeight="1" x14ac:dyDescent="0.25">
      <c r="B52" s="23" t="s">
        <v>42</v>
      </c>
    </row>
    <row r="53" spans="2:7" ht="17.25" customHeight="1" x14ac:dyDescent="0.25">
      <c r="B53" s="24" t="s">
        <v>13</v>
      </c>
    </row>
    <row r="54" spans="2:7" ht="17.25" customHeight="1" x14ac:dyDescent="0.25">
      <c r="B54" s="22" t="s">
        <v>22</v>
      </c>
    </row>
    <row r="55" spans="2:7" ht="17.25" customHeight="1" x14ac:dyDescent="0.25">
      <c r="B55" s="20" t="s">
        <v>168</v>
      </c>
      <c r="G55" s="1" t="s">
        <v>60</v>
      </c>
    </row>
    <row r="56" spans="2:7" ht="17.25" customHeight="1" x14ac:dyDescent="0.25">
      <c r="B56" s="21" t="s">
        <v>169</v>
      </c>
    </row>
    <row r="57" spans="2:7" ht="17.25" customHeight="1" x14ac:dyDescent="0.25">
      <c r="B57" s="25" t="s">
        <v>170</v>
      </c>
    </row>
    <row r="58" spans="2:7" ht="17.25" customHeight="1" x14ac:dyDescent="0.25">
      <c r="B58" s="26" t="s">
        <v>171</v>
      </c>
    </row>
  </sheetData>
  <autoFilter ref="A2:I48" xr:uid="{05BC3763-DB39-45DE-98F2-E8B4D1D7980E}"/>
  <phoneticPr fontId="1" type="noConversion"/>
  <conditionalFormatting sqref="K3:L45 D1:D1048576">
    <cfRule type="duplicateValues" dxfId="28" priority="1"/>
  </conditionalFormatting>
  <pageMargins left="0.17" right="0.17" top="0.17" bottom="0.17" header="0.17" footer="0.17"/>
  <pageSetup paperSize="9" scale="5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889D-876F-4DC8-8C50-8738ECCE7ACD}">
  <dimension ref="A2:K29"/>
  <sheetViews>
    <sheetView zoomScale="130" zoomScaleNormal="130" workbookViewId="0">
      <selection activeCell="H3" sqref="H3:H23"/>
    </sheetView>
  </sheetViews>
  <sheetFormatPr defaultRowHeight="15" x14ac:dyDescent="0.25"/>
  <cols>
    <col min="2" max="2" width="18" customWidth="1"/>
    <col min="3" max="4" width="17.28515625" customWidth="1"/>
    <col min="5" max="5" width="22.5703125" customWidth="1"/>
    <col min="6" max="6" width="27.5703125" customWidth="1"/>
    <col min="7" max="7" width="21.85546875" hidden="1" customWidth="1"/>
    <col min="8" max="8" width="21.140625" customWidth="1"/>
    <col min="9" max="9" width="24.5703125" customWidth="1"/>
    <col min="10" max="10" width="23.42578125" customWidth="1"/>
    <col min="11" max="11" width="16.140625" customWidth="1"/>
  </cols>
  <sheetData>
    <row r="2" spans="1:11" s="5" customFormat="1" ht="17.25" customHeight="1" x14ac:dyDescent="0.25">
      <c r="A2" s="29" t="s">
        <v>172</v>
      </c>
      <c r="B2" s="29" t="s">
        <v>0</v>
      </c>
      <c r="C2" s="29" t="s">
        <v>1</v>
      </c>
      <c r="D2" s="29" t="s">
        <v>173</v>
      </c>
      <c r="E2" s="29" t="s">
        <v>2</v>
      </c>
      <c r="F2" s="29" t="s">
        <v>3</v>
      </c>
      <c r="G2" s="29" t="s">
        <v>4</v>
      </c>
      <c r="H2" s="29" t="s">
        <v>174</v>
      </c>
      <c r="I2" s="29" t="s">
        <v>7</v>
      </c>
      <c r="J2" s="29" t="s">
        <v>8</v>
      </c>
      <c r="K2" s="29" t="s">
        <v>9</v>
      </c>
    </row>
    <row r="3" spans="1:11" s="27" customFormat="1" x14ac:dyDescent="0.25">
      <c r="A3" s="28">
        <v>11</v>
      </c>
      <c r="B3" s="27" t="s">
        <v>185</v>
      </c>
      <c r="C3" s="27" t="s">
        <v>11</v>
      </c>
      <c r="D3" s="27" t="s">
        <v>186</v>
      </c>
      <c r="E3" s="30">
        <v>356904752482896</v>
      </c>
      <c r="F3" s="27" t="s">
        <v>187</v>
      </c>
      <c r="G3"/>
      <c r="H3" s="27" t="s">
        <v>188</v>
      </c>
      <c r="I3"/>
      <c r="J3"/>
      <c r="K3"/>
    </row>
    <row r="4" spans="1:11" x14ac:dyDescent="0.25">
      <c r="A4" s="28">
        <v>1</v>
      </c>
      <c r="B4" s="27" t="s">
        <v>205</v>
      </c>
      <c r="C4" s="27" t="s">
        <v>206</v>
      </c>
      <c r="D4" s="27"/>
      <c r="E4" s="30">
        <v>356904752487127</v>
      </c>
      <c r="F4" s="27" t="s">
        <v>207</v>
      </c>
      <c r="G4" s="27"/>
      <c r="H4" s="27" t="s">
        <v>208</v>
      </c>
      <c r="I4" s="27"/>
      <c r="J4" s="27" t="s">
        <v>209</v>
      </c>
      <c r="K4" s="27"/>
    </row>
    <row r="5" spans="1:11" x14ac:dyDescent="0.25">
      <c r="A5" s="28">
        <v>15</v>
      </c>
      <c r="B5" s="27" t="s">
        <v>195</v>
      </c>
      <c r="C5" s="27" t="s">
        <v>11</v>
      </c>
      <c r="D5" s="27" t="s">
        <v>196</v>
      </c>
      <c r="E5" s="30">
        <v>356904751788400</v>
      </c>
      <c r="F5" s="27" t="s">
        <v>197</v>
      </c>
      <c r="H5" s="27" t="s">
        <v>198</v>
      </c>
    </row>
    <row r="6" spans="1:11" x14ac:dyDescent="0.25">
      <c r="A6" s="28">
        <v>12</v>
      </c>
      <c r="B6" s="27" t="s">
        <v>199</v>
      </c>
      <c r="C6" s="27" t="s">
        <v>11</v>
      </c>
      <c r="D6" s="27" t="s">
        <v>200</v>
      </c>
      <c r="E6" s="30">
        <v>356904852486251</v>
      </c>
      <c r="F6" s="27" t="s">
        <v>201</v>
      </c>
      <c r="H6" s="27" t="s">
        <v>198</v>
      </c>
    </row>
    <row r="7" spans="1:11" x14ac:dyDescent="0.25">
      <c r="A7" s="28">
        <v>2</v>
      </c>
      <c r="B7" s="27" t="s">
        <v>210</v>
      </c>
      <c r="C7" s="27" t="s">
        <v>206</v>
      </c>
      <c r="D7" s="27"/>
      <c r="E7" s="30">
        <v>356904752488133</v>
      </c>
      <c r="F7" s="27" t="s">
        <v>211</v>
      </c>
      <c r="H7" s="27" t="s">
        <v>208</v>
      </c>
      <c r="J7" s="27" t="s">
        <v>212</v>
      </c>
    </row>
    <row r="8" spans="1:11" x14ac:dyDescent="0.25">
      <c r="A8" s="28">
        <v>8</v>
      </c>
      <c r="B8" s="27" t="s">
        <v>189</v>
      </c>
      <c r="C8" s="27" t="s">
        <v>11</v>
      </c>
      <c r="D8" s="27" t="s">
        <v>190</v>
      </c>
      <c r="E8" s="30">
        <v>356904752488083</v>
      </c>
      <c r="F8" s="27" t="s">
        <v>191</v>
      </c>
      <c r="H8" s="27" t="s">
        <v>188</v>
      </c>
    </row>
    <row r="9" spans="1:11" x14ac:dyDescent="0.25">
      <c r="A9" s="28">
        <v>20</v>
      </c>
      <c r="B9" s="27" t="s">
        <v>236</v>
      </c>
      <c r="C9" s="27" t="s">
        <v>11</v>
      </c>
      <c r="D9" s="27" t="s">
        <v>237</v>
      </c>
      <c r="E9" s="30">
        <v>356904752488737</v>
      </c>
      <c r="F9" s="27" t="s">
        <v>238</v>
      </c>
      <c r="H9" s="27" t="s">
        <v>461</v>
      </c>
      <c r="J9" t="s">
        <v>235</v>
      </c>
    </row>
    <row r="10" spans="1:11" x14ac:dyDescent="0.25">
      <c r="A10" s="28">
        <v>9</v>
      </c>
      <c r="B10" s="27" t="s">
        <v>202</v>
      </c>
      <c r="C10" s="27" t="s">
        <v>11</v>
      </c>
      <c r="D10" s="27" t="s">
        <v>203</v>
      </c>
      <c r="E10" s="30">
        <v>356904752477680</v>
      </c>
      <c r="F10" s="27" t="s">
        <v>204</v>
      </c>
      <c r="H10" s="27" t="s">
        <v>198</v>
      </c>
    </row>
    <row r="11" spans="1:11" hidden="1" x14ac:dyDescent="0.25">
      <c r="A11" s="28">
        <v>3</v>
      </c>
      <c r="B11" s="27" t="s">
        <v>224</v>
      </c>
      <c r="C11" s="27" t="s">
        <v>206</v>
      </c>
      <c r="D11" s="27"/>
      <c r="E11" s="30">
        <v>356904752478043</v>
      </c>
      <c r="F11" s="27" t="s">
        <v>225</v>
      </c>
      <c r="H11" s="27" t="s">
        <v>226</v>
      </c>
    </row>
    <row r="12" spans="1:11" x14ac:dyDescent="0.25">
      <c r="A12" s="28">
        <v>7</v>
      </c>
      <c r="B12" s="27" t="s">
        <v>175</v>
      </c>
      <c r="C12" s="27" t="s">
        <v>11</v>
      </c>
      <c r="D12" s="27" t="s">
        <v>176</v>
      </c>
      <c r="E12" s="30">
        <v>356904752488901</v>
      </c>
      <c r="F12" s="27" t="s">
        <v>177</v>
      </c>
      <c r="H12" s="27" t="s">
        <v>178</v>
      </c>
    </row>
    <row r="13" spans="1:11" x14ac:dyDescent="0.25">
      <c r="A13" s="28">
        <v>19</v>
      </c>
      <c r="B13" s="27" t="s">
        <v>233</v>
      </c>
      <c r="C13" s="27" t="s">
        <v>11</v>
      </c>
      <c r="D13" s="27" t="s">
        <v>234</v>
      </c>
      <c r="E13" s="30"/>
      <c r="F13" s="27"/>
      <c r="H13" s="27" t="s">
        <v>461</v>
      </c>
      <c r="J13" t="s">
        <v>235</v>
      </c>
    </row>
    <row r="14" spans="1:11" hidden="1" x14ac:dyDescent="0.25">
      <c r="A14" s="28">
        <v>16</v>
      </c>
      <c r="B14" s="27" t="s">
        <v>227</v>
      </c>
      <c r="C14" s="27" t="s">
        <v>11</v>
      </c>
      <c r="D14" s="27"/>
      <c r="E14" s="30">
        <v>356904751791669</v>
      </c>
      <c r="F14" s="27" t="s">
        <v>228</v>
      </c>
      <c r="H14" s="27" t="s">
        <v>226</v>
      </c>
    </row>
    <row r="15" spans="1:11" x14ac:dyDescent="0.25">
      <c r="A15" s="28">
        <v>14</v>
      </c>
      <c r="B15" s="27" t="s">
        <v>192</v>
      </c>
      <c r="C15" s="27" t="s">
        <v>11</v>
      </c>
      <c r="D15" s="27" t="s">
        <v>193</v>
      </c>
      <c r="E15" s="30">
        <v>356904752486376</v>
      </c>
      <c r="F15" s="27" t="s">
        <v>194</v>
      </c>
      <c r="H15" s="27" t="s">
        <v>188</v>
      </c>
    </row>
    <row r="16" spans="1:11" hidden="1" x14ac:dyDescent="0.25">
      <c r="A16" s="28">
        <v>4</v>
      </c>
      <c r="B16" s="27" t="s">
        <v>229</v>
      </c>
      <c r="C16" s="27" t="s">
        <v>206</v>
      </c>
      <c r="D16" s="27"/>
      <c r="E16" s="30">
        <v>356904751810964</v>
      </c>
      <c r="F16" s="27" t="s">
        <v>230</v>
      </c>
      <c r="H16" s="27" t="s">
        <v>226</v>
      </c>
    </row>
    <row r="17" spans="1:10" x14ac:dyDescent="0.25">
      <c r="A17" s="28">
        <v>5</v>
      </c>
      <c r="B17" s="27" t="s">
        <v>213</v>
      </c>
      <c r="C17" s="27" t="s">
        <v>206</v>
      </c>
      <c r="D17" s="27" t="s">
        <v>214</v>
      </c>
      <c r="E17" s="30">
        <v>356904752484454</v>
      </c>
      <c r="F17" s="27" t="s">
        <v>215</v>
      </c>
      <c r="H17" s="27" t="s">
        <v>208</v>
      </c>
    </row>
    <row r="18" spans="1:10" x14ac:dyDescent="0.25">
      <c r="A18" s="28">
        <v>6</v>
      </c>
      <c r="B18" s="27" t="s">
        <v>216</v>
      </c>
      <c r="C18" s="27" t="s">
        <v>206</v>
      </c>
      <c r="D18" s="27" t="s">
        <v>217</v>
      </c>
      <c r="E18" s="30">
        <v>356904751785794</v>
      </c>
      <c r="F18" s="27" t="s">
        <v>218</v>
      </c>
      <c r="H18" s="27" t="s">
        <v>208</v>
      </c>
    </row>
    <row r="19" spans="1:10" hidden="1" x14ac:dyDescent="0.25">
      <c r="A19" s="28">
        <v>17</v>
      </c>
      <c r="B19" s="27" t="s">
        <v>231</v>
      </c>
      <c r="C19" s="27" t="s">
        <v>11</v>
      </c>
      <c r="D19" s="27"/>
      <c r="E19" s="30">
        <v>356904752482599</v>
      </c>
      <c r="F19" s="27" t="s">
        <v>232</v>
      </c>
      <c r="H19" s="27" t="s">
        <v>226</v>
      </c>
    </row>
    <row r="20" spans="1:10" x14ac:dyDescent="0.25">
      <c r="A20" s="28">
        <v>18</v>
      </c>
      <c r="B20" s="27" t="s">
        <v>219</v>
      </c>
      <c r="C20" s="27" t="s">
        <v>11</v>
      </c>
      <c r="D20" s="27" t="s">
        <v>220</v>
      </c>
      <c r="E20" s="30">
        <v>356904752484165</v>
      </c>
      <c r="F20" s="27" t="s">
        <v>221</v>
      </c>
      <c r="H20" s="27" t="s">
        <v>222</v>
      </c>
      <c r="J20" t="s">
        <v>223</v>
      </c>
    </row>
    <row r="21" spans="1:10" x14ac:dyDescent="0.25">
      <c r="A21" s="28">
        <v>13</v>
      </c>
      <c r="B21" s="27" t="s">
        <v>179</v>
      </c>
      <c r="C21" s="27" t="s">
        <v>11</v>
      </c>
      <c r="D21" s="27" t="s">
        <v>180</v>
      </c>
      <c r="E21" s="30">
        <v>356904752481096</v>
      </c>
      <c r="F21" s="27" t="s">
        <v>181</v>
      </c>
      <c r="H21" s="27" t="s">
        <v>178</v>
      </c>
    </row>
    <row r="22" spans="1:10" x14ac:dyDescent="0.25">
      <c r="A22" s="28">
        <v>10</v>
      </c>
      <c r="B22" s="27" t="s">
        <v>182</v>
      </c>
      <c r="C22" s="27" t="s">
        <v>11</v>
      </c>
      <c r="D22" s="27" t="s">
        <v>183</v>
      </c>
      <c r="E22" s="30">
        <v>356904750632443</v>
      </c>
      <c r="F22" s="27" t="s">
        <v>184</v>
      </c>
      <c r="H22" s="27" t="s">
        <v>178</v>
      </c>
    </row>
    <row r="23" spans="1:10" x14ac:dyDescent="0.25">
      <c r="H23" s="27"/>
    </row>
    <row r="26" spans="1:10" x14ac:dyDescent="0.25">
      <c r="E26">
        <v>3</v>
      </c>
    </row>
    <row r="27" spans="1:10" x14ac:dyDescent="0.25">
      <c r="E27">
        <v>7</v>
      </c>
    </row>
    <row r="28" spans="1:10" x14ac:dyDescent="0.25">
      <c r="E28">
        <v>7</v>
      </c>
    </row>
    <row r="29" spans="1:10" x14ac:dyDescent="0.25">
      <c r="E29">
        <v>7</v>
      </c>
    </row>
  </sheetData>
  <conditionalFormatting sqref="B1:B1048576">
    <cfRule type="duplicateValues" dxfId="27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14B6-463D-4CDA-B419-2E82C5294E18}">
  <dimension ref="A1:I50"/>
  <sheetViews>
    <sheetView zoomScale="115" zoomScaleNormal="115" workbookViewId="0">
      <selection activeCell="E5" sqref="E5"/>
    </sheetView>
  </sheetViews>
  <sheetFormatPr defaultRowHeight="15" x14ac:dyDescent="0.25"/>
  <cols>
    <col min="1" max="1" width="4.85546875" style="27" customWidth="1"/>
    <col min="2" max="2" width="20.28515625" customWidth="1"/>
    <col min="3" max="3" width="24.140625" customWidth="1"/>
    <col min="4" max="4" width="18" bestFit="1" customWidth="1"/>
    <col min="5" max="5" width="24" bestFit="1" customWidth="1"/>
    <col min="6" max="6" width="25.42578125" bestFit="1" customWidth="1"/>
    <col min="7" max="7" width="53.42578125" bestFit="1" customWidth="1"/>
    <col min="8" max="8" width="18.140625" bestFit="1" customWidth="1"/>
    <col min="9" max="9" width="22.28515625" customWidth="1"/>
  </cols>
  <sheetData>
    <row r="1" spans="1:9" s="28" customFormat="1" x14ac:dyDescent="0.25">
      <c r="A1" s="33" t="s">
        <v>172</v>
      </c>
      <c r="B1" s="33" t="s">
        <v>641</v>
      </c>
      <c r="C1" s="33" t="s">
        <v>455</v>
      </c>
      <c r="D1" s="40" t="s">
        <v>4</v>
      </c>
      <c r="E1" s="33" t="s">
        <v>458</v>
      </c>
      <c r="F1" s="33" t="s">
        <v>456</v>
      </c>
      <c r="G1" s="34" t="s">
        <v>457</v>
      </c>
      <c r="H1" s="34" t="s">
        <v>640</v>
      </c>
      <c r="I1" s="34" t="s">
        <v>8</v>
      </c>
    </row>
    <row r="2" spans="1:9" x14ac:dyDescent="0.25">
      <c r="A2" s="28">
        <v>1</v>
      </c>
      <c r="B2" s="28" t="s">
        <v>693</v>
      </c>
      <c r="C2" s="28"/>
      <c r="D2" s="28"/>
      <c r="E2" s="28"/>
      <c r="F2" s="28"/>
      <c r="G2" s="28" t="s">
        <v>624</v>
      </c>
      <c r="H2" s="28"/>
      <c r="I2" s="28"/>
    </row>
    <row r="3" spans="1:9" x14ac:dyDescent="0.25">
      <c r="A3" s="28">
        <v>2</v>
      </c>
      <c r="B3" s="28" t="s">
        <v>692</v>
      </c>
      <c r="C3" s="28"/>
      <c r="D3" s="28"/>
      <c r="E3" s="28">
        <v>2</v>
      </c>
      <c r="F3" s="28"/>
      <c r="G3" s="28" t="s">
        <v>628</v>
      </c>
      <c r="H3" s="28"/>
      <c r="I3" s="28"/>
    </row>
    <row r="4" spans="1:9" x14ac:dyDescent="0.25">
      <c r="A4" s="28">
        <v>3</v>
      </c>
      <c r="B4" s="28" t="s">
        <v>691</v>
      </c>
      <c r="C4" s="28"/>
      <c r="D4" s="28"/>
      <c r="E4" s="28"/>
      <c r="F4" s="28"/>
      <c r="G4" s="28" t="s">
        <v>629</v>
      </c>
      <c r="H4" s="28"/>
      <c r="I4" s="28"/>
    </row>
    <row r="5" spans="1:9" x14ac:dyDescent="0.25">
      <c r="A5" s="28">
        <v>4</v>
      </c>
      <c r="B5" s="28" t="s">
        <v>690</v>
      </c>
      <c r="C5" s="28"/>
      <c r="D5" s="28"/>
      <c r="E5" s="28"/>
      <c r="F5" s="28"/>
      <c r="G5" s="28" t="s">
        <v>630</v>
      </c>
      <c r="H5" s="28"/>
      <c r="I5" s="28" t="s">
        <v>627</v>
      </c>
    </row>
    <row r="6" spans="1:9" x14ac:dyDescent="0.25">
      <c r="A6" s="28">
        <v>5</v>
      </c>
      <c r="B6" s="28" t="s">
        <v>694</v>
      </c>
      <c r="C6" s="28"/>
      <c r="D6" s="28"/>
      <c r="E6" s="28"/>
      <c r="F6" s="28"/>
      <c r="G6" s="28" t="s">
        <v>631</v>
      </c>
      <c r="H6" s="28"/>
      <c r="I6" s="28"/>
    </row>
    <row r="7" spans="1:9" x14ac:dyDescent="0.25">
      <c r="A7" s="28">
        <v>6</v>
      </c>
      <c r="B7" s="28" t="s">
        <v>695</v>
      </c>
      <c r="C7" s="28"/>
      <c r="D7" s="28"/>
      <c r="E7" s="28"/>
      <c r="F7" s="28"/>
      <c r="G7" s="28" t="s">
        <v>631</v>
      </c>
      <c r="H7" s="28"/>
      <c r="I7" s="28"/>
    </row>
    <row r="8" spans="1:9" x14ac:dyDescent="0.25">
      <c r="A8" s="28">
        <v>7</v>
      </c>
      <c r="B8" s="28" t="s">
        <v>696</v>
      </c>
      <c r="C8" s="28"/>
      <c r="D8" s="28"/>
      <c r="E8" s="28"/>
      <c r="F8" s="28"/>
      <c r="G8" s="28" t="s">
        <v>632</v>
      </c>
      <c r="H8" s="28"/>
      <c r="I8" s="28"/>
    </row>
    <row r="9" spans="1:9" x14ac:dyDescent="0.25">
      <c r="A9" s="28">
        <v>8</v>
      </c>
      <c r="B9" s="28" t="s">
        <v>697</v>
      </c>
      <c r="C9" s="28"/>
      <c r="D9" s="28"/>
      <c r="E9" s="28"/>
      <c r="F9" s="28"/>
      <c r="G9" s="28" t="s">
        <v>633</v>
      </c>
      <c r="H9" s="28"/>
      <c r="I9" s="28"/>
    </row>
    <row r="10" spans="1:9" x14ac:dyDescent="0.25">
      <c r="A10" s="28">
        <v>9</v>
      </c>
      <c r="B10" s="28" t="s">
        <v>698</v>
      </c>
      <c r="C10" s="28"/>
      <c r="D10" s="28"/>
      <c r="E10" s="28"/>
      <c r="F10" s="28"/>
      <c r="G10" s="28" t="s">
        <v>634</v>
      </c>
      <c r="H10" s="28"/>
      <c r="I10" s="28"/>
    </row>
    <row r="11" spans="1:9" x14ac:dyDescent="0.25">
      <c r="A11" s="28">
        <v>10</v>
      </c>
      <c r="B11" s="49" t="s">
        <v>699</v>
      </c>
      <c r="C11" s="28"/>
      <c r="D11" s="28"/>
      <c r="E11" s="28">
        <v>2</v>
      </c>
      <c r="F11" s="28"/>
      <c r="G11" s="28" t="s">
        <v>635</v>
      </c>
      <c r="H11" s="28"/>
      <c r="I11" s="28"/>
    </row>
    <row r="12" spans="1:9" x14ac:dyDescent="0.25">
      <c r="A12" s="28">
        <v>11</v>
      </c>
      <c r="B12" s="49" t="s">
        <v>699</v>
      </c>
      <c r="C12" s="28"/>
      <c r="D12" s="28"/>
      <c r="E12" s="28"/>
      <c r="F12" s="28"/>
      <c r="G12" s="28" t="s">
        <v>636</v>
      </c>
      <c r="H12" s="28"/>
      <c r="I12" s="28"/>
    </row>
    <row r="13" spans="1:9" x14ac:dyDescent="0.25">
      <c r="A13" s="28">
        <v>12</v>
      </c>
      <c r="B13" s="28" t="s">
        <v>700</v>
      </c>
      <c r="C13" s="28"/>
      <c r="D13" s="28"/>
      <c r="E13" s="28"/>
      <c r="F13" s="28"/>
      <c r="G13" s="28" t="s">
        <v>637</v>
      </c>
      <c r="H13" s="28"/>
      <c r="I13" s="28"/>
    </row>
    <row r="14" spans="1:9" x14ac:dyDescent="0.25">
      <c r="A14" s="28">
        <v>13</v>
      </c>
      <c r="B14" s="28" t="s">
        <v>701</v>
      </c>
      <c r="C14" s="28"/>
      <c r="D14" s="28"/>
      <c r="E14" s="28">
        <v>2</v>
      </c>
      <c r="F14" s="28"/>
      <c r="G14" s="28" t="s">
        <v>638</v>
      </c>
      <c r="H14" s="28"/>
      <c r="I14" s="28"/>
    </row>
    <row r="15" spans="1:9" x14ac:dyDescent="0.25">
      <c r="A15" s="28">
        <v>14</v>
      </c>
      <c r="B15" s="28" t="s">
        <v>702</v>
      </c>
      <c r="C15" s="28"/>
      <c r="D15" s="28"/>
      <c r="E15" s="28"/>
      <c r="F15" s="28"/>
      <c r="G15" s="28" t="s">
        <v>639</v>
      </c>
      <c r="H15" s="28"/>
      <c r="I15" s="28"/>
    </row>
    <row r="16" spans="1:9" x14ac:dyDescent="0.25">
      <c r="A16" s="28">
        <v>15</v>
      </c>
      <c r="B16" s="28" t="s">
        <v>703</v>
      </c>
      <c r="C16" s="28"/>
      <c r="D16" s="28"/>
      <c r="E16" s="28"/>
      <c r="F16" s="28"/>
      <c r="G16" s="28" t="s">
        <v>625</v>
      </c>
      <c r="H16" s="28"/>
      <c r="I16" s="28"/>
    </row>
    <row r="17" spans="1:9" x14ac:dyDescent="0.25">
      <c r="A17" s="28">
        <v>16</v>
      </c>
      <c r="B17" s="28" t="s">
        <v>704</v>
      </c>
      <c r="C17" s="28"/>
      <c r="D17" s="28"/>
      <c r="E17" s="28"/>
      <c r="F17" s="28"/>
      <c r="G17" s="28" t="s">
        <v>621</v>
      </c>
      <c r="H17" s="28"/>
      <c r="I17" s="28"/>
    </row>
    <row r="18" spans="1:9" x14ac:dyDescent="0.25">
      <c r="A18" s="28">
        <v>17</v>
      </c>
      <c r="B18" s="28" t="s">
        <v>705</v>
      </c>
      <c r="C18" s="28"/>
      <c r="D18" s="28"/>
      <c r="E18" s="28"/>
      <c r="F18" s="28"/>
      <c r="G18" s="28" t="s">
        <v>622</v>
      </c>
      <c r="H18" s="28"/>
      <c r="I18" s="28"/>
    </row>
    <row r="19" spans="1:9" x14ac:dyDescent="0.25">
      <c r="A19" s="28">
        <v>18</v>
      </c>
      <c r="B19" s="28" t="s">
        <v>706</v>
      </c>
      <c r="C19" s="28"/>
      <c r="D19" s="28"/>
      <c r="E19" s="28"/>
      <c r="F19" s="28"/>
      <c r="G19" s="28" t="s">
        <v>623</v>
      </c>
      <c r="H19" s="28"/>
      <c r="I19" s="28"/>
    </row>
    <row r="20" spans="1:9" x14ac:dyDescent="0.25">
      <c r="A20" s="28">
        <v>19</v>
      </c>
      <c r="B20" s="28" t="s">
        <v>707</v>
      </c>
      <c r="C20" s="28"/>
      <c r="D20" s="28"/>
      <c r="E20" s="28"/>
      <c r="F20" s="28"/>
      <c r="G20" s="28" t="s">
        <v>626</v>
      </c>
      <c r="H20" s="28"/>
      <c r="I20" s="28"/>
    </row>
    <row r="21" spans="1:9" x14ac:dyDescent="0.25">
      <c r="A21" s="28">
        <v>20</v>
      </c>
      <c r="B21" s="28" t="s">
        <v>642</v>
      </c>
      <c r="C21" s="28"/>
      <c r="D21" s="28"/>
      <c r="E21" s="28"/>
      <c r="F21" s="28"/>
      <c r="G21" s="28" t="s">
        <v>684</v>
      </c>
      <c r="H21" s="28"/>
      <c r="I21" s="28"/>
    </row>
    <row r="22" spans="1:9" x14ac:dyDescent="0.25">
      <c r="A22" s="28">
        <v>21</v>
      </c>
      <c r="B22" s="28" t="s">
        <v>643</v>
      </c>
      <c r="C22" s="28"/>
      <c r="D22" s="28" t="str">
        <f>PROPER(Table3[[#This Row],[Inventoy Number]])</f>
        <v/>
      </c>
      <c r="E22" s="28"/>
      <c r="F22" s="28"/>
      <c r="G22" s="28" t="s">
        <v>684</v>
      </c>
      <c r="H22" s="48"/>
      <c r="I22" s="28"/>
    </row>
    <row r="23" spans="1:9" x14ac:dyDescent="0.25">
      <c r="A23" s="28">
        <v>22</v>
      </c>
      <c r="B23" s="28" t="s">
        <v>644</v>
      </c>
      <c r="C23" s="28"/>
      <c r="D23" s="28" t="str">
        <f>PROPER(Table3[[#This Row],[Inventoy Number]])</f>
        <v/>
      </c>
      <c r="E23" s="28"/>
      <c r="F23" s="28"/>
      <c r="G23" s="28"/>
      <c r="H23" s="48"/>
      <c r="I23" s="28"/>
    </row>
    <row r="24" spans="1:9" x14ac:dyDescent="0.25">
      <c r="A24" s="28">
        <v>23</v>
      </c>
      <c r="B24" s="28" t="s">
        <v>645</v>
      </c>
      <c r="C24" s="28"/>
      <c r="D24" s="28" t="str">
        <f>PROPER(Table3[[#This Row],[Inventoy Number]])</f>
        <v/>
      </c>
      <c r="E24" s="28"/>
      <c r="F24" s="28"/>
      <c r="G24" s="28" t="s">
        <v>687</v>
      </c>
      <c r="H24" s="48"/>
      <c r="I24" s="28"/>
    </row>
    <row r="25" spans="1:9" x14ac:dyDescent="0.25">
      <c r="A25" s="28">
        <v>24</v>
      </c>
      <c r="B25" s="28" t="s">
        <v>646</v>
      </c>
      <c r="C25" s="28"/>
      <c r="D25" s="28" t="str">
        <f>PROPER(Table3[[#This Row],[Inventoy Number]])</f>
        <v/>
      </c>
      <c r="E25" s="28"/>
      <c r="F25" s="28"/>
      <c r="G25" s="28" t="s">
        <v>683</v>
      </c>
      <c r="H25" s="48"/>
      <c r="I25" s="28"/>
    </row>
    <row r="26" spans="1:9" x14ac:dyDescent="0.25">
      <c r="A26" s="28">
        <v>25</v>
      </c>
      <c r="B26" s="28" t="s">
        <v>647</v>
      </c>
      <c r="C26" s="28"/>
      <c r="D26" s="28" t="str">
        <f>PROPER(Table3[[#This Row],[Inventoy Number]])</f>
        <v/>
      </c>
      <c r="E26" s="28"/>
      <c r="F26" s="28"/>
      <c r="G26" s="28" t="s">
        <v>688</v>
      </c>
      <c r="H26" s="48"/>
      <c r="I26" s="28"/>
    </row>
    <row r="27" spans="1:9" x14ac:dyDescent="0.25">
      <c r="A27" s="28">
        <v>26</v>
      </c>
      <c r="B27" s="28" t="s">
        <v>648</v>
      </c>
      <c r="C27" s="28"/>
      <c r="D27" s="28" t="str">
        <f>PROPER(Table3[[#This Row],[Inventoy Number]])</f>
        <v/>
      </c>
      <c r="E27" s="28"/>
      <c r="F27" s="28"/>
      <c r="G27" s="28"/>
      <c r="H27" s="48"/>
      <c r="I27" s="28"/>
    </row>
    <row r="28" spans="1:9" x14ac:dyDescent="0.25">
      <c r="A28" s="28">
        <v>27</v>
      </c>
      <c r="B28" s="28" t="s">
        <v>649</v>
      </c>
      <c r="C28" s="28"/>
      <c r="D28" s="28" t="str">
        <f>PROPER(Table3[[#This Row],[Inventoy Number]])</f>
        <v/>
      </c>
      <c r="E28" s="28"/>
      <c r="F28" s="28"/>
      <c r="G28" s="28" t="s">
        <v>689</v>
      </c>
      <c r="H28" s="48"/>
      <c r="I28" s="28"/>
    </row>
    <row r="29" spans="1:9" x14ac:dyDescent="0.25">
      <c r="A29" s="28">
        <v>28</v>
      </c>
      <c r="B29" s="28" t="s">
        <v>650</v>
      </c>
      <c r="C29" s="28"/>
      <c r="D29" s="28" t="str">
        <f>PROPER(Table3[[#This Row],[Inventoy Number]])</f>
        <v/>
      </c>
      <c r="E29" s="28"/>
      <c r="F29" s="28"/>
      <c r="G29" s="28" t="s">
        <v>685</v>
      </c>
      <c r="H29" s="48"/>
      <c r="I29" s="28"/>
    </row>
    <row r="30" spans="1:9" x14ac:dyDescent="0.25">
      <c r="A30" s="28">
        <v>29</v>
      </c>
      <c r="B30" s="28" t="s">
        <v>651</v>
      </c>
      <c r="C30" s="28"/>
      <c r="D30" s="28" t="str">
        <f>PROPER(Table3[[#This Row],[Inventoy Number]])</f>
        <v/>
      </c>
      <c r="E30" s="28"/>
      <c r="F30" s="28"/>
      <c r="G30" s="28" t="s">
        <v>686</v>
      </c>
      <c r="H30" s="48"/>
      <c r="I30" s="28"/>
    </row>
    <row r="31" spans="1:9" x14ac:dyDescent="0.25">
      <c r="A31" s="28">
        <v>30</v>
      </c>
      <c r="B31" s="28" t="s">
        <v>652</v>
      </c>
      <c r="C31" s="28"/>
      <c r="D31" s="28" t="str">
        <f>PROPER(Table3[[#This Row],[Inventoy Number]])</f>
        <v/>
      </c>
      <c r="E31" s="28"/>
      <c r="F31" s="28"/>
      <c r="G31" s="28" t="s">
        <v>671</v>
      </c>
      <c r="H31" s="48"/>
      <c r="I31" s="28"/>
    </row>
    <row r="32" spans="1:9" x14ac:dyDescent="0.25">
      <c r="A32" s="28">
        <v>31</v>
      </c>
      <c r="B32" s="28" t="s">
        <v>653</v>
      </c>
      <c r="C32" s="28"/>
      <c r="D32" s="28" t="str">
        <f>PROPER(Table3[[#This Row],[Inventoy Number]])</f>
        <v/>
      </c>
      <c r="E32" s="28"/>
      <c r="F32" s="28"/>
      <c r="G32" s="28" t="s">
        <v>671</v>
      </c>
      <c r="H32" s="28"/>
      <c r="I32" s="28"/>
    </row>
    <row r="33" spans="1:9" x14ac:dyDescent="0.25">
      <c r="A33" s="28">
        <v>32</v>
      </c>
      <c r="B33" s="28" t="s">
        <v>654</v>
      </c>
      <c r="C33" s="28"/>
      <c r="D33" s="28" t="str">
        <f>PROPER(Table3[[#This Row],[Inventoy Number]])</f>
        <v/>
      </c>
      <c r="E33" s="28"/>
      <c r="F33" s="28"/>
      <c r="G33" s="28" t="s">
        <v>671</v>
      </c>
      <c r="H33" s="28"/>
      <c r="I33" s="28"/>
    </row>
    <row r="34" spans="1:9" x14ac:dyDescent="0.25">
      <c r="A34" s="28">
        <v>33</v>
      </c>
      <c r="B34" s="28" t="s">
        <v>655</v>
      </c>
      <c r="C34" s="28"/>
      <c r="D34" s="28" t="str">
        <f>PROPER(Table3[[#This Row],[Inventoy Number]])</f>
        <v/>
      </c>
      <c r="E34" s="28"/>
      <c r="F34" s="28"/>
      <c r="G34" s="28" t="s">
        <v>671</v>
      </c>
      <c r="H34" s="28"/>
      <c r="I34" s="28"/>
    </row>
    <row r="35" spans="1:9" x14ac:dyDescent="0.25">
      <c r="A35" s="28">
        <v>34</v>
      </c>
      <c r="B35" s="28" t="s">
        <v>656</v>
      </c>
      <c r="C35" s="28"/>
      <c r="D35" s="28" t="str">
        <f>PROPER(Table3[[#This Row],[Inventoy Number]])</f>
        <v/>
      </c>
      <c r="E35" s="28"/>
      <c r="F35" s="28"/>
      <c r="G35" s="28" t="s">
        <v>671</v>
      </c>
      <c r="H35" s="28"/>
      <c r="I35" s="28"/>
    </row>
    <row r="36" spans="1:9" x14ac:dyDescent="0.25">
      <c r="A36" s="28">
        <v>35</v>
      </c>
      <c r="B36" s="28" t="s">
        <v>657</v>
      </c>
      <c r="C36" s="28"/>
      <c r="D36" s="28" t="str">
        <f>PROPER(Table3[[#This Row],[Inventoy Number]])</f>
        <v/>
      </c>
      <c r="E36" s="28"/>
      <c r="F36" s="28"/>
      <c r="G36" s="28" t="s">
        <v>672</v>
      </c>
      <c r="H36" s="28"/>
      <c r="I36" s="28"/>
    </row>
    <row r="37" spans="1:9" x14ac:dyDescent="0.25">
      <c r="A37" s="28">
        <v>36</v>
      </c>
      <c r="B37" s="28" t="s">
        <v>658</v>
      </c>
      <c r="C37" s="28"/>
      <c r="D37" s="28" t="str">
        <f>PROPER(Table3[[#This Row],[Inventoy Number]])</f>
        <v/>
      </c>
      <c r="E37" s="28"/>
      <c r="F37" s="28"/>
      <c r="G37" s="28" t="s">
        <v>671</v>
      </c>
      <c r="H37" s="28"/>
      <c r="I37" s="28"/>
    </row>
    <row r="38" spans="1:9" x14ac:dyDescent="0.25">
      <c r="A38" s="28">
        <v>37</v>
      </c>
      <c r="B38" s="28" t="s">
        <v>659</v>
      </c>
      <c r="C38" s="28"/>
      <c r="D38" s="28" t="str">
        <f>PROPER(Table3[[#This Row],[Inventoy Number]])</f>
        <v/>
      </c>
      <c r="E38" s="28"/>
      <c r="F38" s="28"/>
      <c r="G38" s="28" t="s">
        <v>460</v>
      </c>
      <c r="H38" s="28"/>
      <c r="I38" s="28"/>
    </row>
    <row r="39" spans="1:9" x14ac:dyDescent="0.25">
      <c r="A39" s="28">
        <v>38</v>
      </c>
      <c r="B39" s="28" t="s">
        <v>660</v>
      </c>
      <c r="C39" s="28"/>
      <c r="D39" s="28" t="str">
        <f>PROPER(Table3[[#This Row],[Inventoy Number]])</f>
        <v/>
      </c>
      <c r="E39" s="28"/>
      <c r="F39" s="28"/>
      <c r="G39" s="28" t="s">
        <v>682</v>
      </c>
      <c r="H39" s="28"/>
      <c r="I39" s="28"/>
    </row>
    <row r="40" spans="1:9" x14ac:dyDescent="0.25">
      <c r="A40" s="28">
        <v>39</v>
      </c>
      <c r="B40" s="28" t="s">
        <v>661</v>
      </c>
      <c r="C40" s="28"/>
      <c r="D40" s="28" t="str">
        <f>PROPER(Table3[[#This Row],[Inventoy Number]])</f>
        <v/>
      </c>
      <c r="E40" s="28"/>
      <c r="F40" s="28"/>
      <c r="G40" s="28" t="s">
        <v>672</v>
      </c>
      <c r="H40" s="28"/>
      <c r="I40" s="28"/>
    </row>
    <row r="41" spans="1:9" x14ac:dyDescent="0.25">
      <c r="A41" s="28">
        <v>40</v>
      </c>
      <c r="B41" s="28" t="s">
        <v>662</v>
      </c>
      <c r="C41" s="28"/>
      <c r="D41" s="28" t="str">
        <f>PROPER(Table3[[#This Row],[Inventoy Number]])</f>
        <v/>
      </c>
      <c r="E41" s="28"/>
      <c r="F41" s="28"/>
      <c r="G41" s="28" t="s">
        <v>672</v>
      </c>
      <c r="H41" s="28"/>
      <c r="I41" s="28"/>
    </row>
    <row r="42" spans="1:9" x14ac:dyDescent="0.25">
      <c r="A42" s="28">
        <v>41</v>
      </c>
      <c r="B42" s="28" t="s">
        <v>663</v>
      </c>
      <c r="C42" s="28"/>
      <c r="D42" s="28" t="str">
        <f>PROPER(Table3[[#This Row],[Inventoy Number]])</f>
        <v/>
      </c>
      <c r="E42" s="28"/>
      <c r="F42" s="28"/>
      <c r="G42" s="28" t="s">
        <v>673</v>
      </c>
      <c r="H42" s="28"/>
      <c r="I42" s="28"/>
    </row>
    <row r="43" spans="1:9" x14ac:dyDescent="0.25">
      <c r="A43" s="28">
        <v>42</v>
      </c>
      <c r="B43" s="28" t="s">
        <v>664</v>
      </c>
      <c r="C43" s="28"/>
      <c r="D43" s="28" t="str">
        <f>PROPER(Table3[[#This Row],[Inventoy Number]])</f>
        <v/>
      </c>
      <c r="E43" s="28"/>
      <c r="F43" s="28"/>
      <c r="G43" s="28" t="s">
        <v>674</v>
      </c>
      <c r="H43" s="28"/>
      <c r="I43" s="28"/>
    </row>
    <row r="44" spans="1:9" x14ac:dyDescent="0.25">
      <c r="A44" s="28">
        <v>43</v>
      </c>
      <c r="B44" s="28" t="s">
        <v>665</v>
      </c>
      <c r="C44" s="28"/>
      <c r="D44" s="28" t="str">
        <f>PROPER(Table3[[#This Row],[Inventoy Number]])</f>
        <v/>
      </c>
      <c r="E44" s="28"/>
      <c r="F44" s="28"/>
      <c r="G44" s="28" t="s">
        <v>675</v>
      </c>
      <c r="H44" s="28"/>
      <c r="I44" s="28"/>
    </row>
    <row r="45" spans="1:9" x14ac:dyDescent="0.25">
      <c r="A45" s="28">
        <v>44</v>
      </c>
      <c r="B45" s="28" t="s">
        <v>666</v>
      </c>
      <c r="C45" s="28"/>
      <c r="D45" s="28" t="str">
        <f>PROPER(Table3[[#This Row],[Inventoy Number]])</f>
        <v/>
      </c>
      <c r="E45" s="28"/>
      <c r="F45" s="28"/>
      <c r="G45" s="28" t="s">
        <v>676</v>
      </c>
      <c r="H45" s="28"/>
      <c r="I45" s="28"/>
    </row>
    <row r="46" spans="1:9" x14ac:dyDescent="0.25">
      <c r="A46" s="28">
        <v>45</v>
      </c>
      <c r="B46" s="28" t="s">
        <v>667</v>
      </c>
      <c r="C46" s="28"/>
      <c r="D46" s="28" t="str">
        <f>PROPER(Table3[[#This Row],[Inventoy Number]])</f>
        <v/>
      </c>
      <c r="E46" s="28"/>
      <c r="F46" s="28"/>
      <c r="G46" s="28" t="s">
        <v>677</v>
      </c>
      <c r="H46" s="28"/>
      <c r="I46" s="28"/>
    </row>
    <row r="47" spans="1:9" x14ac:dyDescent="0.25">
      <c r="A47" s="28">
        <v>46</v>
      </c>
      <c r="B47" s="28" t="s">
        <v>668</v>
      </c>
      <c r="C47" s="28"/>
      <c r="D47" s="28" t="str">
        <f>PROPER(Table3[[#This Row],[Inventoy Number]])</f>
        <v/>
      </c>
      <c r="E47" s="28"/>
      <c r="F47" s="28"/>
      <c r="G47" s="28" t="s">
        <v>678</v>
      </c>
      <c r="H47" s="28"/>
      <c r="I47" s="28"/>
    </row>
    <row r="48" spans="1:9" x14ac:dyDescent="0.25">
      <c r="A48" s="28">
        <v>47</v>
      </c>
      <c r="B48" s="28" t="s">
        <v>669</v>
      </c>
      <c r="C48" s="28"/>
      <c r="D48" s="28" t="str">
        <f>PROPER(Table3[[#This Row],[Inventoy Number]])</f>
        <v/>
      </c>
      <c r="E48" s="28"/>
      <c r="F48" s="28"/>
      <c r="G48" s="28" t="s">
        <v>678</v>
      </c>
      <c r="H48" s="28"/>
      <c r="I48" s="28"/>
    </row>
    <row r="49" spans="1:9" x14ac:dyDescent="0.25">
      <c r="A49" s="28">
        <v>48</v>
      </c>
      <c r="B49" s="28" t="s">
        <v>670</v>
      </c>
      <c r="C49" s="28"/>
      <c r="D49" s="28" t="str">
        <f>PROPER(Table3[[#This Row],[Inventoy Number]])</f>
        <v/>
      </c>
      <c r="E49" s="28"/>
      <c r="F49" s="28"/>
      <c r="G49" s="28" t="s">
        <v>679</v>
      </c>
      <c r="H49" s="28"/>
      <c r="I49" s="28"/>
    </row>
    <row r="50" spans="1:9" x14ac:dyDescent="0.25">
      <c r="A50" s="28">
        <v>49</v>
      </c>
      <c r="B50" s="28" t="s">
        <v>680</v>
      </c>
      <c r="C50" s="28"/>
      <c r="D50" s="28" t="str">
        <f>PROPER(Table3[[#This Row],[Inventoy Number]])</f>
        <v/>
      </c>
      <c r="E50" s="28"/>
      <c r="F50" s="28"/>
      <c r="G50" s="28" t="s">
        <v>681</v>
      </c>
      <c r="H50" s="28"/>
      <c r="I50" s="2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F4F-E992-4DA7-BB74-84C71CDCD8F4}">
  <dimension ref="A1:P93"/>
  <sheetViews>
    <sheetView tabSelected="1" topLeftCell="B1" workbookViewId="0">
      <selection activeCell="I75" sqref="I75"/>
    </sheetView>
  </sheetViews>
  <sheetFormatPr defaultRowHeight="15" x14ac:dyDescent="0.25"/>
  <cols>
    <col min="1" max="1" width="4.42578125" style="28" bestFit="1" customWidth="1"/>
    <col min="2" max="2" width="26.42578125" style="28" bestFit="1" customWidth="1"/>
    <col min="3" max="3" width="14.7109375" style="28" bestFit="1" customWidth="1"/>
    <col min="4" max="4" width="30.42578125" style="28" bestFit="1" customWidth="1"/>
    <col min="5" max="5" width="13.28515625" style="28" bestFit="1" customWidth="1"/>
    <col min="6" max="6" width="16.28515625" style="28" bestFit="1" customWidth="1"/>
    <col min="7" max="7" width="26.5703125" style="28" bestFit="1" customWidth="1"/>
    <col min="8" max="10" width="9.140625" style="28"/>
    <col min="11" max="11" width="3" style="28" bestFit="1" customWidth="1"/>
    <col min="12" max="12" width="12.7109375" style="28" bestFit="1" customWidth="1"/>
    <col min="13" max="13" width="25.5703125" style="28" bestFit="1" customWidth="1"/>
    <col min="14" max="14" width="10.140625" style="28" bestFit="1" customWidth="1"/>
    <col min="15" max="15" width="29.140625" style="28" bestFit="1" customWidth="1"/>
    <col min="16" max="16" width="16.42578125" style="28" bestFit="1" customWidth="1"/>
    <col min="17" max="16384" width="9.140625" style="28"/>
  </cols>
  <sheetData>
    <row r="1" spans="1:16" x14ac:dyDescent="0.25">
      <c r="K1" s="51" t="s">
        <v>620</v>
      </c>
      <c r="L1" s="51"/>
      <c r="M1" s="51"/>
      <c r="N1" s="51"/>
      <c r="O1" s="51"/>
      <c r="P1" s="51"/>
    </row>
    <row r="2" spans="1:16" x14ac:dyDescent="0.25">
      <c r="A2" s="33" t="s">
        <v>172</v>
      </c>
      <c r="B2" s="33" t="s">
        <v>239</v>
      </c>
      <c r="C2" s="33" t="s">
        <v>240</v>
      </c>
      <c r="D2" s="33" t="s">
        <v>241</v>
      </c>
      <c r="E2" s="33" t="s">
        <v>242</v>
      </c>
      <c r="F2" s="33" t="s">
        <v>243</v>
      </c>
      <c r="G2" s="34" t="s">
        <v>244</v>
      </c>
      <c r="K2" s="41"/>
      <c r="L2" s="41" t="s">
        <v>462</v>
      </c>
      <c r="M2" s="41" t="s">
        <v>239</v>
      </c>
      <c r="N2" s="41" t="s">
        <v>463</v>
      </c>
      <c r="O2" s="41" t="s">
        <v>241</v>
      </c>
      <c r="P2" s="41" t="s">
        <v>243</v>
      </c>
    </row>
    <row r="3" spans="1:16" x14ac:dyDescent="0.25">
      <c r="A3" s="31">
        <v>1</v>
      </c>
      <c r="B3" s="31" t="s">
        <v>245</v>
      </c>
      <c r="C3" s="31" t="s">
        <v>246</v>
      </c>
      <c r="D3" s="31" t="s">
        <v>247</v>
      </c>
      <c r="E3" s="31" t="s">
        <v>248</v>
      </c>
      <c r="F3" s="31" t="s">
        <v>249</v>
      </c>
      <c r="G3" s="32" t="s">
        <v>250</v>
      </c>
      <c r="K3" s="42">
        <v>1</v>
      </c>
      <c r="L3" s="43" t="s">
        <v>464</v>
      </c>
      <c r="M3" s="43"/>
      <c r="N3" s="43" t="s">
        <v>465</v>
      </c>
      <c r="O3" s="43" t="s">
        <v>247</v>
      </c>
      <c r="P3" s="43" t="s">
        <v>459</v>
      </c>
    </row>
    <row r="4" spans="1:16" x14ac:dyDescent="0.25">
      <c r="A4" s="31">
        <v>2</v>
      </c>
      <c r="B4" s="31" t="s">
        <v>251</v>
      </c>
      <c r="C4" s="31" t="s">
        <v>252</v>
      </c>
      <c r="D4" s="31" t="s">
        <v>247</v>
      </c>
      <c r="E4" s="31" t="s">
        <v>253</v>
      </c>
      <c r="F4" s="31" t="s">
        <v>249</v>
      </c>
      <c r="G4" s="32" t="s">
        <v>250</v>
      </c>
      <c r="K4" s="44">
        <v>2</v>
      </c>
      <c r="L4" s="45" t="s">
        <v>466</v>
      </c>
      <c r="M4" s="45"/>
      <c r="N4" s="45" t="s">
        <v>467</v>
      </c>
      <c r="O4" s="45" t="s">
        <v>247</v>
      </c>
      <c r="P4" s="45" t="s">
        <v>459</v>
      </c>
    </row>
    <row r="5" spans="1:16" x14ac:dyDescent="0.25">
      <c r="A5" s="31">
        <v>3</v>
      </c>
      <c r="B5" s="31" t="s">
        <v>254</v>
      </c>
      <c r="C5" s="31" t="s">
        <v>255</v>
      </c>
      <c r="D5" s="31" t="s">
        <v>247</v>
      </c>
      <c r="E5" s="31" t="s">
        <v>256</v>
      </c>
      <c r="F5" s="31" t="s">
        <v>249</v>
      </c>
      <c r="G5" s="32" t="s">
        <v>250</v>
      </c>
      <c r="K5" s="44">
        <v>4</v>
      </c>
      <c r="L5" s="45" t="s">
        <v>468</v>
      </c>
      <c r="M5" s="45"/>
      <c r="N5" s="45" t="s">
        <v>391</v>
      </c>
      <c r="O5" s="45" t="s">
        <v>247</v>
      </c>
      <c r="P5" s="45" t="s">
        <v>178</v>
      </c>
    </row>
    <row r="6" spans="1:16" x14ac:dyDescent="0.25">
      <c r="A6" s="31">
        <v>4</v>
      </c>
      <c r="B6" s="31" t="s">
        <v>257</v>
      </c>
      <c r="C6" s="31" t="s">
        <v>258</v>
      </c>
      <c r="D6" s="31" t="s">
        <v>247</v>
      </c>
      <c r="E6" s="31" t="s">
        <v>259</v>
      </c>
      <c r="F6" s="31" t="s">
        <v>249</v>
      </c>
      <c r="G6" s="32" t="s">
        <v>250</v>
      </c>
      <c r="K6" s="44">
        <v>5</v>
      </c>
      <c r="L6" s="45" t="s">
        <v>469</v>
      </c>
      <c r="M6" s="45"/>
      <c r="N6" s="45" t="s">
        <v>470</v>
      </c>
      <c r="O6" s="45" t="s">
        <v>247</v>
      </c>
      <c r="P6" s="45" t="s">
        <v>178</v>
      </c>
    </row>
    <row r="7" spans="1:16" x14ac:dyDescent="0.25">
      <c r="A7" s="31">
        <v>5</v>
      </c>
      <c r="B7" s="31" t="s">
        <v>260</v>
      </c>
      <c r="C7" s="31" t="s">
        <v>261</v>
      </c>
      <c r="D7" s="31" t="s">
        <v>247</v>
      </c>
      <c r="E7" s="31" t="s">
        <v>262</v>
      </c>
      <c r="F7" s="31" t="s">
        <v>249</v>
      </c>
      <c r="G7" s="32" t="s">
        <v>250</v>
      </c>
      <c r="K7" s="44">
        <v>7</v>
      </c>
      <c r="L7" s="45" t="s">
        <v>471</v>
      </c>
      <c r="M7" s="45"/>
      <c r="N7" s="45" t="s">
        <v>472</v>
      </c>
      <c r="O7" s="45" t="s">
        <v>247</v>
      </c>
      <c r="P7" s="45" t="s">
        <v>178</v>
      </c>
    </row>
    <row r="8" spans="1:16" x14ac:dyDescent="0.25">
      <c r="A8" s="31">
        <v>6</v>
      </c>
      <c r="B8" s="31" t="s">
        <v>263</v>
      </c>
      <c r="C8" s="31" t="s">
        <v>264</v>
      </c>
      <c r="D8" s="31" t="s">
        <v>247</v>
      </c>
      <c r="E8" s="31" t="s">
        <v>265</v>
      </c>
      <c r="F8" s="31" t="s">
        <v>249</v>
      </c>
      <c r="G8" s="32" t="s">
        <v>250</v>
      </c>
      <c r="K8" s="44">
        <v>8</v>
      </c>
      <c r="L8" s="45" t="s">
        <v>473</v>
      </c>
      <c r="M8" s="45"/>
      <c r="N8" s="45" t="s">
        <v>474</v>
      </c>
      <c r="O8" s="45" t="s">
        <v>247</v>
      </c>
      <c r="P8" s="45" t="s">
        <v>178</v>
      </c>
    </row>
    <row r="9" spans="1:16" x14ac:dyDescent="0.25">
      <c r="A9" s="31">
        <v>7</v>
      </c>
      <c r="B9" s="31" t="s">
        <v>266</v>
      </c>
      <c r="C9" s="31" t="s">
        <v>267</v>
      </c>
      <c r="D9" s="31" t="s">
        <v>247</v>
      </c>
      <c r="E9" s="31" t="s">
        <v>268</v>
      </c>
      <c r="F9" s="31" t="s">
        <v>249</v>
      </c>
      <c r="G9" s="32" t="s">
        <v>250</v>
      </c>
      <c r="K9" s="44">
        <v>10</v>
      </c>
      <c r="L9" s="45" t="s">
        <v>475</v>
      </c>
      <c r="M9" s="45"/>
      <c r="N9" s="45" t="s">
        <v>476</v>
      </c>
      <c r="O9" s="45" t="s">
        <v>247</v>
      </c>
      <c r="P9" s="45" t="s">
        <v>178</v>
      </c>
    </row>
    <row r="10" spans="1:16" x14ac:dyDescent="0.25">
      <c r="A10" s="31">
        <v>8</v>
      </c>
      <c r="B10" s="31" t="s">
        <v>269</v>
      </c>
      <c r="C10" s="31" t="s">
        <v>270</v>
      </c>
      <c r="D10" s="31" t="s">
        <v>247</v>
      </c>
      <c r="E10" s="31" t="s">
        <v>271</v>
      </c>
      <c r="F10" s="31" t="s">
        <v>249</v>
      </c>
      <c r="G10" s="32" t="s">
        <v>250</v>
      </c>
      <c r="K10" s="44">
        <v>11</v>
      </c>
      <c r="L10" s="45" t="s">
        <v>477</v>
      </c>
      <c r="M10" s="45"/>
      <c r="N10" s="45"/>
      <c r="O10" s="45" t="s">
        <v>247</v>
      </c>
      <c r="P10" s="45" t="s">
        <v>178</v>
      </c>
    </row>
    <row r="11" spans="1:16" x14ac:dyDescent="0.25">
      <c r="A11" s="31">
        <v>9</v>
      </c>
      <c r="B11" s="31" t="s">
        <v>272</v>
      </c>
      <c r="C11" s="31" t="s">
        <v>273</v>
      </c>
      <c r="D11" s="31" t="s">
        <v>247</v>
      </c>
      <c r="E11" s="31" t="s">
        <v>274</v>
      </c>
      <c r="F11" s="31" t="s">
        <v>249</v>
      </c>
      <c r="G11" s="32" t="s">
        <v>250</v>
      </c>
      <c r="K11" s="44">
        <v>12</v>
      </c>
      <c r="L11" s="45" t="s">
        <v>478</v>
      </c>
      <c r="M11" s="45"/>
      <c r="N11" s="45"/>
      <c r="O11" s="45" t="s">
        <v>247</v>
      </c>
      <c r="P11" s="45" t="s">
        <v>178</v>
      </c>
    </row>
    <row r="12" spans="1:16" x14ac:dyDescent="0.25">
      <c r="A12" s="31">
        <v>10</v>
      </c>
      <c r="B12" s="31" t="s">
        <v>275</v>
      </c>
      <c r="C12" s="31" t="s">
        <v>276</v>
      </c>
      <c r="D12" s="31" t="s">
        <v>247</v>
      </c>
      <c r="E12" s="31" t="s">
        <v>277</v>
      </c>
      <c r="F12" s="31" t="s">
        <v>249</v>
      </c>
      <c r="G12" s="32" t="s">
        <v>250</v>
      </c>
      <c r="K12" s="44">
        <v>13</v>
      </c>
      <c r="L12" s="45" t="s">
        <v>479</v>
      </c>
      <c r="M12" s="45"/>
      <c r="N12" s="45"/>
      <c r="O12" s="45" t="s">
        <v>247</v>
      </c>
      <c r="P12" s="45" t="s">
        <v>178</v>
      </c>
    </row>
    <row r="13" spans="1:16" x14ac:dyDescent="0.25">
      <c r="A13" s="31">
        <v>11</v>
      </c>
      <c r="B13" s="31" t="s">
        <v>278</v>
      </c>
      <c r="C13" s="31" t="s">
        <v>279</v>
      </c>
      <c r="D13" s="31" t="s">
        <v>247</v>
      </c>
      <c r="E13" s="31" t="s">
        <v>280</v>
      </c>
      <c r="F13" s="31" t="s">
        <v>249</v>
      </c>
      <c r="G13" s="32" t="s">
        <v>250</v>
      </c>
      <c r="K13" s="44">
        <v>14</v>
      </c>
      <c r="L13" s="45" t="s">
        <v>480</v>
      </c>
      <c r="M13" s="45"/>
      <c r="N13" s="45"/>
      <c r="O13" s="45" t="s">
        <v>247</v>
      </c>
      <c r="P13" s="45" t="s">
        <v>178</v>
      </c>
    </row>
    <row r="14" spans="1:16" x14ac:dyDescent="0.25">
      <c r="A14" s="31">
        <v>12</v>
      </c>
      <c r="B14" s="31" t="s">
        <v>281</v>
      </c>
      <c r="C14" s="31" t="s">
        <v>282</v>
      </c>
      <c r="D14" s="31" t="s">
        <v>247</v>
      </c>
      <c r="E14" s="31" t="s">
        <v>283</v>
      </c>
      <c r="F14" s="31" t="s">
        <v>249</v>
      </c>
      <c r="G14" s="32" t="s">
        <v>250</v>
      </c>
      <c r="K14" s="44">
        <v>15</v>
      </c>
      <c r="L14" s="45" t="s">
        <v>481</v>
      </c>
      <c r="M14" s="45"/>
      <c r="N14" s="45"/>
      <c r="O14" s="45" t="s">
        <v>247</v>
      </c>
      <c r="P14" s="45" t="s">
        <v>178</v>
      </c>
    </row>
    <row r="15" spans="1:16" x14ac:dyDescent="0.25">
      <c r="A15" s="31">
        <v>13</v>
      </c>
      <c r="B15" s="31" t="s">
        <v>284</v>
      </c>
      <c r="C15" s="31" t="s">
        <v>285</v>
      </c>
      <c r="D15" s="31" t="s">
        <v>286</v>
      </c>
      <c r="E15" s="31" t="s">
        <v>287</v>
      </c>
      <c r="F15" s="31" t="s">
        <v>249</v>
      </c>
      <c r="G15" s="32" t="s">
        <v>250</v>
      </c>
      <c r="K15" s="44">
        <v>16</v>
      </c>
      <c r="L15" s="45" t="s">
        <v>482</v>
      </c>
      <c r="M15" s="45"/>
      <c r="N15" s="45"/>
      <c r="O15" s="45" t="s">
        <v>247</v>
      </c>
      <c r="P15" s="45" t="s">
        <v>178</v>
      </c>
    </row>
    <row r="16" spans="1:16" x14ac:dyDescent="0.25">
      <c r="A16" s="31">
        <v>14</v>
      </c>
      <c r="B16" s="31" t="s">
        <v>284</v>
      </c>
      <c r="C16" s="31" t="s">
        <v>288</v>
      </c>
      <c r="D16" s="31" t="s">
        <v>286</v>
      </c>
      <c r="E16" s="31" t="s">
        <v>289</v>
      </c>
      <c r="F16" s="31" t="s">
        <v>249</v>
      </c>
      <c r="G16" s="32" t="s">
        <v>250</v>
      </c>
      <c r="K16" s="44">
        <v>17</v>
      </c>
      <c r="L16" s="45" t="s">
        <v>483</v>
      </c>
      <c r="M16" s="45"/>
      <c r="N16" s="45"/>
      <c r="O16" s="45" t="s">
        <v>247</v>
      </c>
      <c r="P16" s="45" t="s">
        <v>178</v>
      </c>
    </row>
    <row r="17" spans="1:16" x14ac:dyDescent="0.25">
      <c r="A17" s="31">
        <v>15</v>
      </c>
      <c r="B17" s="31" t="s">
        <v>290</v>
      </c>
      <c r="C17" s="31" t="s">
        <v>290</v>
      </c>
      <c r="D17" s="31" t="s">
        <v>291</v>
      </c>
      <c r="E17" s="31" t="s">
        <v>292</v>
      </c>
      <c r="F17" s="31" t="s">
        <v>249</v>
      </c>
      <c r="G17" s="32" t="s">
        <v>250</v>
      </c>
      <c r="K17" s="44">
        <v>18</v>
      </c>
      <c r="L17" s="45" t="s">
        <v>484</v>
      </c>
      <c r="M17" s="45"/>
      <c r="N17" s="45"/>
      <c r="O17" s="45" t="s">
        <v>247</v>
      </c>
      <c r="P17" s="45" t="s">
        <v>188</v>
      </c>
    </row>
    <row r="18" spans="1:16" x14ac:dyDescent="0.25">
      <c r="A18" s="31">
        <v>16</v>
      </c>
      <c r="B18" s="31" t="s">
        <v>293</v>
      </c>
      <c r="C18" s="31" t="s">
        <v>294</v>
      </c>
      <c r="D18" s="31" t="s">
        <v>247</v>
      </c>
      <c r="E18" s="31" t="s">
        <v>295</v>
      </c>
      <c r="F18" s="31" t="s">
        <v>296</v>
      </c>
      <c r="G18" s="32" t="s">
        <v>250</v>
      </c>
      <c r="K18" s="44">
        <v>19</v>
      </c>
      <c r="L18" s="45" t="s">
        <v>485</v>
      </c>
      <c r="M18" s="45"/>
      <c r="N18" s="45"/>
      <c r="O18" s="45" t="s">
        <v>247</v>
      </c>
      <c r="P18" s="45" t="s">
        <v>188</v>
      </c>
    </row>
    <row r="19" spans="1:16" x14ac:dyDescent="0.25">
      <c r="A19" s="31">
        <v>17</v>
      </c>
      <c r="B19" s="31" t="s">
        <v>297</v>
      </c>
      <c r="C19" s="31" t="s">
        <v>298</v>
      </c>
      <c r="D19" s="31" t="s">
        <v>247</v>
      </c>
      <c r="E19" s="31" t="s">
        <v>299</v>
      </c>
      <c r="F19" s="31" t="s">
        <v>296</v>
      </c>
      <c r="G19" s="32" t="s">
        <v>250</v>
      </c>
      <c r="K19" s="44">
        <v>20</v>
      </c>
      <c r="L19" s="45" t="s">
        <v>486</v>
      </c>
      <c r="M19" s="45"/>
      <c r="N19" s="45"/>
      <c r="O19" s="45" t="s">
        <v>247</v>
      </c>
      <c r="P19" s="45" t="s">
        <v>188</v>
      </c>
    </row>
    <row r="20" spans="1:16" x14ac:dyDescent="0.25">
      <c r="A20" s="31">
        <v>18</v>
      </c>
      <c r="B20" s="31" t="s">
        <v>300</v>
      </c>
      <c r="C20" s="31" t="s">
        <v>301</v>
      </c>
      <c r="D20" s="31" t="s">
        <v>247</v>
      </c>
      <c r="E20" s="31" t="s">
        <v>302</v>
      </c>
      <c r="F20" s="31" t="s">
        <v>296</v>
      </c>
      <c r="G20" s="32" t="s">
        <v>250</v>
      </c>
      <c r="K20" s="44">
        <v>21</v>
      </c>
      <c r="L20" s="45" t="s">
        <v>487</v>
      </c>
      <c r="M20" s="45"/>
      <c r="N20" s="45"/>
      <c r="O20" s="45" t="s">
        <v>247</v>
      </c>
      <c r="P20" s="45" t="s">
        <v>188</v>
      </c>
    </row>
    <row r="21" spans="1:16" x14ac:dyDescent="0.25">
      <c r="A21" s="31">
        <v>19</v>
      </c>
      <c r="B21" s="31" t="s">
        <v>303</v>
      </c>
      <c r="C21" s="31" t="s">
        <v>304</v>
      </c>
      <c r="D21" s="31" t="s">
        <v>247</v>
      </c>
      <c r="E21" s="31" t="s">
        <v>305</v>
      </c>
      <c r="F21" s="31" t="s">
        <v>296</v>
      </c>
      <c r="G21" s="32" t="s">
        <v>250</v>
      </c>
      <c r="K21" s="44">
        <v>22</v>
      </c>
      <c r="L21" s="45" t="s">
        <v>488</v>
      </c>
      <c r="M21" s="45"/>
      <c r="N21" s="45" t="s">
        <v>489</v>
      </c>
      <c r="O21" s="45" t="s">
        <v>247</v>
      </c>
      <c r="P21" s="45" t="s">
        <v>188</v>
      </c>
    </row>
    <row r="22" spans="1:16" x14ac:dyDescent="0.25">
      <c r="A22" s="31">
        <v>20</v>
      </c>
      <c r="B22" s="31" t="s">
        <v>306</v>
      </c>
      <c r="C22" s="31" t="s">
        <v>307</v>
      </c>
      <c r="D22" s="31" t="s">
        <v>247</v>
      </c>
      <c r="E22" s="31" t="s">
        <v>308</v>
      </c>
      <c r="F22" s="31" t="s">
        <v>296</v>
      </c>
      <c r="G22" s="32" t="s">
        <v>250</v>
      </c>
      <c r="K22" s="44">
        <v>23</v>
      </c>
      <c r="L22" s="45" t="s">
        <v>490</v>
      </c>
      <c r="M22" s="45"/>
      <c r="N22" s="45" t="s">
        <v>491</v>
      </c>
      <c r="O22" s="45" t="s">
        <v>247</v>
      </c>
      <c r="P22" s="45" t="s">
        <v>188</v>
      </c>
    </row>
    <row r="23" spans="1:16" x14ac:dyDescent="0.25">
      <c r="A23" s="31">
        <v>21</v>
      </c>
      <c r="B23" s="31" t="s">
        <v>309</v>
      </c>
      <c r="C23" s="31" t="s">
        <v>310</v>
      </c>
      <c r="D23" s="31" t="s">
        <v>247</v>
      </c>
      <c r="E23" s="31" t="s">
        <v>311</v>
      </c>
      <c r="F23" s="31" t="s">
        <v>296</v>
      </c>
      <c r="G23" s="32" t="s">
        <v>250</v>
      </c>
      <c r="K23" s="44">
        <v>25</v>
      </c>
      <c r="L23" s="45" t="s">
        <v>492</v>
      </c>
      <c r="M23" s="45"/>
      <c r="N23" s="45" t="s">
        <v>493</v>
      </c>
      <c r="O23" s="45" t="s">
        <v>247</v>
      </c>
      <c r="P23" s="45" t="s">
        <v>188</v>
      </c>
    </row>
    <row r="24" spans="1:16" x14ac:dyDescent="0.25">
      <c r="A24" s="31">
        <v>22</v>
      </c>
      <c r="B24" s="31" t="s">
        <v>312</v>
      </c>
      <c r="C24" s="31" t="s">
        <v>313</v>
      </c>
      <c r="D24" s="31" t="s">
        <v>247</v>
      </c>
      <c r="E24" s="31" t="s">
        <v>314</v>
      </c>
      <c r="F24" s="31" t="s">
        <v>296</v>
      </c>
      <c r="G24" s="32" t="s">
        <v>250</v>
      </c>
      <c r="K24" s="44">
        <v>27</v>
      </c>
      <c r="L24" s="45" t="s">
        <v>494</v>
      </c>
      <c r="M24" s="45"/>
      <c r="N24" s="45" t="s">
        <v>495</v>
      </c>
      <c r="O24" s="45" t="s">
        <v>247</v>
      </c>
      <c r="P24" s="45" t="s">
        <v>188</v>
      </c>
    </row>
    <row r="25" spans="1:16" x14ac:dyDescent="0.25">
      <c r="A25" s="31">
        <v>23</v>
      </c>
      <c r="B25" s="31" t="s">
        <v>315</v>
      </c>
      <c r="C25" s="31" t="s">
        <v>316</v>
      </c>
      <c r="D25" s="31" t="s">
        <v>247</v>
      </c>
      <c r="E25" s="31" t="s">
        <v>317</v>
      </c>
      <c r="F25" s="31" t="s">
        <v>296</v>
      </c>
      <c r="G25" s="32" t="s">
        <v>250</v>
      </c>
      <c r="K25" s="44">
        <v>28</v>
      </c>
      <c r="L25" s="45" t="s">
        <v>496</v>
      </c>
      <c r="M25" s="45"/>
      <c r="N25" s="45" t="s">
        <v>497</v>
      </c>
      <c r="O25" s="45" t="s">
        <v>247</v>
      </c>
      <c r="P25" s="45" t="s">
        <v>188</v>
      </c>
    </row>
    <row r="26" spans="1:16" x14ac:dyDescent="0.25">
      <c r="A26" s="31">
        <v>24</v>
      </c>
      <c r="B26" s="31" t="s">
        <v>284</v>
      </c>
      <c r="C26" s="31" t="s">
        <v>318</v>
      </c>
      <c r="D26" s="31" t="s">
        <v>286</v>
      </c>
      <c r="E26" s="31" t="s">
        <v>319</v>
      </c>
      <c r="F26" s="31" t="s">
        <v>296</v>
      </c>
      <c r="G26" s="32" t="s">
        <v>250</v>
      </c>
      <c r="K26" s="44">
        <v>29</v>
      </c>
      <c r="L26" s="45" t="s">
        <v>498</v>
      </c>
      <c r="M26" s="45"/>
      <c r="N26" s="45" t="s">
        <v>499</v>
      </c>
      <c r="O26" s="45" t="s">
        <v>247</v>
      </c>
      <c r="P26" s="45" t="s">
        <v>188</v>
      </c>
    </row>
    <row r="27" spans="1:16" x14ac:dyDescent="0.25">
      <c r="A27" s="31">
        <v>25</v>
      </c>
      <c r="B27" s="31" t="s">
        <v>284</v>
      </c>
      <c r="C27" s="31" t="s">
        <v>320</v>
      </c>
      <c r="D27" s="31" t="s">
        <v>286</v>
      </c>
      <c r="E27" s="31" t="s">
        <v>321</v>
      </c>
      <c r="F27" s="31" t="s">
        <v>296</v>
      </c>
      <c r="G27" s="32" t="s">
        <v>250</v>
      </c>
      <c r="K27" s="44">
        <v>31</v>
      </c>
      <c r="L27" s="45" t="s">
        <v>500</v>
      </c>
      <c r="M27" s="45"/>
      <c r="N27" s="45" t="s">
        <v>501</v>
      </c>
      <c r="O27" s="45" t="s">
        <v>247</v>
      </c>
      <c r="P27" s="45" t="s">
        <v>188</v>
      </c>
    </row>
    <row r="28" spans="1:16" x14ac:dyDescent="0.25">
      <c r="A28" s="31">
        <v>26</v>
      </c>
      <c r="B28" s="31" t="s">
        <v>284</v>
      </c>
      <c r="C28" s="31" t="s">
        <v>322</v>
      </c>
      <c r="D28" s="31" t="s">
        <v>286</v>
      </c>
      <c r="E28" s="31" t="s">
        <v>323</v>
      </c>
      <c r="F28" s="31" t="s">
        <v>296</v>
      </c>
      <c r="G28" s="32" t="s">
        <v>250</v>
      </c>
      <c r="K28" s="44">
        <v>32</v>
      </c>
      <c r="L28" s="45" t="s">
        <v>500</v>
      </c>
      <c r="M28" s="45"/>
      <c r="N28" s="45" t="s">
        <v>502</v>
      </c>
      <c r="O28" s="45" t="s">
        <v>247</v>
      </c>
      <c r="P28" s="45" t="s">
        <v>188</v>
      </c>
    </row>
    <row r="29" spans="1:16" x14ac:dyDescent="0.25">
      <c r="A29" s="31">
        <v>27</v>
      </c>
      <c r="B29" s="31" t="s">
        <v>290</v>
      </c>
      <c r="C29" s="31" t="s">
        <v>290</v>
      </c>
      <c r="D29" s="31" t="s">
        <v>291</v>
      </c>
      <c r="E29" s="31" t="s">
        <v>324</v>
      </c>
      <c r="F29" s="31" t="s">
        <v>296</v>
      </c>
      <c r="G29" s="32" t="s">
        <v>250</v>
      </c>
      <c r="K29" s="44">
        <v>34</v>
      </c>
      <c r="L29" s="45" t="s">
        <v>503</v>
      </c>
      <c r="M29" s="45"/>
      <c r="N29" s="45"/>
      <c r="O29" s="45" t="s">
        <v>247</v>
      </c>
      <c r="P29" s="45" t="s">
        <v>198</v>
      </c>
    </row>
    <row r="30" spans="1:16" x14ac:dyDescent="0.25">
      <c r="A30" s="31">
        <v>28</v>
      </c>
      <c r="B30" s="31" t="s">
        <v>290</v>
      </c>
      <c r="C30" s="31" t="s">
        <v>290</v>
      </c>
      <c r="D30" s="31" t="s">
        <v>291</v>
      </c>
      <c r="E30" s="31" t="s">
        <v>325</v>
      </c>
      <c r="F30" s="31" t="s">
        <v>296</v>
      </c>
      <c r="G30" s="32" t="s">
        <v>250</v>
      </c>
      <c r="K30" s="44">
        <v>35</v>
      </c>
      <c r="L30" s="45" t="s">
        <v>504</v>
      </c>
      <c r="M30" s="45"/>
      <c r="N30" s="45" t="s">
        <v>505</v>
      </c>
      <c r="O30" s="45" t="s">
        <v>247</v>
      </c>
      <c r="P30" s="45" t="s">
        <v>198</v>
      </c>
    </row>
    <row r="31" spans="1:16" x14ac:dyDescent="0.25">
      <c r="A31" s="31">
        <v>29</v>
      </c>
      <c r="B31" s="31" t="s">
        <v>290</v>
      </c>
      <c r="C31" s="31" t="s">
        <v>290</v>
      </c>
      <c r="D31" s="31" t="s">
        <v>291</v>
      </c>
      <c r="E31" s="31" t="s">
        <v>326</v>
      </c>
      <c r="F31" s="31" t="s">
        <v>296</v>
      </c>
      <c r="G31" s="32" t="s">
        <v>250</v>
      </c>
      <c r="K31" s="44">
        <v>36</v>
      </c>
      <c r="L31" s="45" t="s">
        <v>506</v>
      </c>
      <c r="M31" s="45"/>
      <c r="N31" s="45" t="s">
        <v>507</v>
      </c>
      <c r="O31" s="45" t="s">
        <v>247</v>
      </c>
      <c r="P31" s="45" t="s">
        <v>198</v>
      </c>
    </row>
    <row r="32" spans="1:16" x14ac:dyDescent="0.25">
      <c r="A32" s="31">
        <v>30</v>
      </c>
      <c r="B32" s="31" t="s">
        <v>290</v>
      </c>
      <c r="C32" s="31" t="s">
        <v>290</v>
      </c>
      <c r="D32" s="31" t="s">
        <v>291</v>
      </c>
      <c r="E32" s="31" t="s">
        <v>327</v>
      </c>
      <c r="F32" s="31" t="s">
        <v>296</v>
      </c>
      <c r="G32" s="32" t="s">
        <v>250</v>
      </c>
      <c r="K32" s="44">
        <v>37</v>
      </c>
      <c r="L32" s="45" t="s">
        <v>508</v>
      </c>
      <c r="M32" s="45"/>
      <c r="N32" s="45" t="s">
        <v>509</v>
      </c>
      <c r="O32" s="45" t="s">
        <v>247</v>
      </c>
      <c r="P32" s="45" t="s">
        <v>198</v>
      </c>
    </row>
    <row r="33" spans="1:16" x14ac:dyDescent="0.25">
      <c r="A33" s="31">
        <v>31</v>
      </c>
      <c r="B33" s="31" t="s">
        <v>328</v>
      </c>
      <c r="C33" s="31" t="s">
        <v>329</v>
      </c>
      <c r="D33" s="31" t="s">
        <v>247</v>
      </c>
      <c r="E33" s="31" t="s">
        <v>330</v>
      </c>
      <c r="F33" s="31" t="s">
        <v>331</v>
      </c>
      <c r="G33" s="32" t="s">
        <v>250</v>
      </c>
      <c r="K33" s="44">
        <v>39</v>
      </c>
      <c r="L33" s="45" t="s">
        <v>510</v>
      </c>
      <c r="M33" s="45"/>
      <c r="N33" s="45" t="s">
        <v>511</v>
      </c>
      <c r="O33" s="45" t="s">
        <v>247</v>
      </c>
      <c r="P33" s="45" t="s">
        <v>198</v>
      </c>
    </row>
    <row r="34" spans="1:16" x14ac:dyDescent="0.25">
      <c r="A34" s="31">
        <v>32</v>
      </c>
      <c r="B34" s="31" t="s">
        <v>332</v>
      </c>
      <c r="C34" s="31" t="s">
        <v>333</v>
      </c>
      <c r="D34" s="31" t="s">
        <v>247</v>
      </c>
      <c r="E34" s="31" t="s">
        <v>334</v>
      </c>
      <c r="F34" s="31" t="s">
        <v>331</v>
      </c>
      <c r="G34" s="32" t="s">
        <v>250</v>
      </c>
      <c r="K34" s="44">
        <v>41</v>
      </c>
      <c r="L34" s="45" t="s">
        <v>512</v>
      </c>
      <c r="M34" s="45"/>
      <c r="N34" s="45"/>
      <c r="O34" s="45" t="s">
        <v>247</v>
      </c>
      <c r="P34" s="45" t="s">
        <v>198</v>
      </c>
    </row>
    <row r="35" spans="1:16" x14ac:dyDescent="0.25">
      <c r="A35" s="31">
        <v>33</v>
      </c>
      <c r="B35" s="31" t="s">
        <v>335</v>
      </c>
      <c r="C35" s="31" t="s">
        <v>336</v>
      </c>
      <c r="D35" s="31" t="s">
        <v>247</v>
      </c>
      <c r="E35" s="31" t="s">
        <v>337</v>
      </c>
      <c r="F35" s="31" t="s">
        <v>331</v>
      </c>
      <c r="G35" s="32" t="s">
        <v>250</v>
      </c>
      <c r="K35" s="44">
        <v>42</v>
      </c>
      <c r="L35" s="45" t="s">
        <v>513</v>
      </c>
      <c r="M35" s="45"/>
      <c r="N35" s="45"/>
      <c r="O35" s="45" t="s">
        <v>247</v>
      </c>
      <c r="P35" s="45" t="s">
        <v>198</v>
      </c>
    </row>
    <row r="36" spans="1:16" x14ac:dyDescent="0.25">
      <c r="A36" s="31">
        <v>34</v>
      </c>
      <c r="B36" s="31" t="s">
        <v>338</v>
      </c>
      <c r="C36" s="31" t="s">
        <v>339</v>
      </c>
      <c r="D36" s="31" t="s">
        <v>247</v>
      </c>
      <c r="E36" s="31" t="s">
        <v>340</v>
      </c>
      <c r="F36" s="31" t="s">
        <v>331</v>
      </c>
      <c r="G36" s="32" t="s">
        <v>250</v>
      </c>
      <c r="K36" s="44">
        <v>43</v>
      </c>
      <c r="L36" s="45" t="s">
        <v>514</v>
      </c>
      <c r="M36" s="45"/>
      <c r="N36" s="45"/>
      <c r="O36" s="45" t="s">
        <v>247</v>
      </c>
      <c r="P36" s="45" t="s">
        <v>198</v>
      </c>
    </row>
    <row r="37" spans="1:16" x14ac:dyDescent="0.25">
      <c r="A37" s="31">
        <v>35</v>
      </c>
      <c r="B37" s="31" t="s">
        <v>341</v>
      </c>
      <c r="C37" s="31" t="s">
        <v>342</v>
      </c>
      <c r="D37" s="31" t="s">
        <v>247</v>
      </c>
      <c r="E37" s="31" t="s">
        <v>343</v>
      </c>
      <c r="F37" s="31" t="s">
        <v>331</v>
      </c>
      <c r="G37" s="32" t="s">
        <v>250</v>
      </c>
      <c r="K37" s="44">
        <v>45</v>
      </c>
      <c r="L37" s="45" t="s">
        <v>515</v>
      </c>
      <c r="M37" s="45"/>
      <c r="N37" s="45" t="s">
        <v>516</v>
      </c>
      <c r="O37" s="45" t="s">
        <v>247</v>
      </c>
      <c r="P37" s="45" t="s">
        <v>198</v>
      </c>
    </row>
    <row r="38" spans="1:16" x14ac:dyDescent="0.25">
      <c r="A38" s="31">
        <v>36</v>
      </c>
      <c r="B38" s="31" t="s">
        <v>344</v>
      </c>
      <c r="C38" s="31" t="s">
        <v>345</v>
      </c>
      <c r="D38" s="31" t="s">
        <v>247</v>
      </c>
      <c r="E38" s="31" t="s">
        <v>346</v>
      </c>
      <c r="F38" s="31" t="s">
        <v>331</v>
      </c>
      <c r="G38" s="32" t="s">
        <v>250</v>
      </c>
      <c r="K38" s="44">
        <v>17</v>
      </c>
      <c r="L38" s="45" t="s">
        <v>517</v>
      </c>
      <c r="M38" s="45" t="s">
        <v>518</v>
      </c>
      <c r="N38" s="45" t="s">
        <v>519</v>
      </c>
      <c r="O38" s="45" t="s">
        <v>247</v>
      </c>
      <c r="P38" s="45" t="s">
        <v>520</v>
      </c>
    </row>
    <row r="39" spans="1:16" x14ac:dyDescent="0.25">
      <c r="A39" s="31">
        <v>37</v>
      </c>
      <c r="B39" s="31" t="s">
        <v>347</v>
      </c>
      <c r="C39" s="31" t="s">
        <v>348</v>
      </c>
      <c r="D39" s="31" t="s">
        <v>247</v>
      </c>
      <c r="E39" s="31" t="s">
        <v>349</v>
      </c>
      <c r="F39" s="31" t="s">
        <v>331</v>
      </c>
      <c r="G39" s="32" t="s">
        <v>250</v>
      </c>
      <c r="K39" s="44">
        <v>23</v>
      </c>
      <c r="L39" s="45" t="s">
        <v>521</v>
      </c>
      <c r="M39" s="45" t="s">
        <v>522</v>
      </c>
      <c r="N39" s="45" t="s">
        <v>523</v>
      </c>
      <c r="O39" s="45" t="s">
        <v>247</v>
      </c>
      <c r="P39" s="45" t="s">
        <v>520</v>
      </c>
    </row>
    <row r="40" spans="1:16" x14ac:dyDescent="0.25">
      <c r="A40" s="31">
        <v>38</v>
      </c>
      <c r="B40" s="31" t="s">
        <v>350</v>
      </c>
      <c r="C40" s="31" t="s">
        <v>351</v>
      </c>
      <c r="D40" s="31" t="s">
        <v>247</v>
      </c>
      <c r="E40" s="31" t="s">
        <v>352</v>
      </c>
      <c r="F40" s="31" t="s">
        <v>331</v>
      </c>
      <c r="G40" s="32" t="s">
        <v>250</v>
      </c>
      <c r="K40" s="44">
        <v>25</v>
      </c>
      <c r="L40" s="45" t="s">
        <v>524</v>
      </c>
      <c r="M40" s="45" t="s">
        <v>525</v>
      </c>
      <c r="N40" s="45" t="s">
        <v>526</v>
      </c>
      <c r="O40" s="45" t="s">
        <v>247</v>
      </c>
      <c r="P40" s="45" t="s">
        <v>520</v>
      </c>
    </row>
    <row r="41" spans="1:16" x14ac:dyDescent="0.25">
      <c r="A41" s="31">
        <v>39</v>
      </c>
      <c r="B41" s="31" t="s">
        <v>353</v>
      </c>
      <c r="C41" s="31" t="s">
        <v>354</v>
      </c>
      <c r="D41" s="31" t="s">
        <v>247</v>
      </c>
      <c r="E41" s="31" t="s">
        <v>355</v>
      </c>
      <c r="F41" s="31" t="s">
        <v>331</v>
      </c>
      <c r="G41" s="32" t="s">
        <v>250</v>
      </c>
      <c r="K41" s="44">
        <v>28</v>
      </c>
      <c r="L41" s="45" t="s">
        <v>527</v>
      </c>
      <c r="M41" s="45" t="s">
        <v>528</v>
      </c>
      <c r="N41" s="45" t="s">
        <v>529</v>
      </c>
      <c r="O41" s="45" t="s">
        <v>247</v>
      </c>
      <c r="P41" s="45" t="s">
        <v>520</v>
      </c>
    </row>
    <row r="42" spans="1:16" x14ac:dyDescent="0.25">
      <c r="A42" s="31">
        <v>40</v>
      </c>
      <c r="B42" s="31" t="s">
        <v>356</v>
      </c>
      <c r="C42" s="31" t="s">
        <v>357</v>
      </c>
      <c r="D42" s="31" t="s">
        <v>247</v>
      </c>
      <c r="E42" s="31" t="s">
        <v>358</v>
      </c>
      <c r="F42" s="31" t="s">
        <v>331</v>
      </c>
      <c r="G42" s="32" t="s">
        <v>250</v>
      </c>
      <c r="K42" s="44">
        <v>35</v>
      </c>
      <c r="L42" s="45" t="s">
        <v>530</v>
      </c>
      <c r="M42" s="45" t="s">
        <v>531</v>
      </c>
      <c r="N42" s="45" t="s">
        <v>532</v>
      </c>
      <c r="O42" s="45" t="s">
        <v>247</v>
      </c>
      <c r="P42" s="45" t="s">
        <v>533</v>
      </c>
    </row>
    <row r="43" spans="1:16" x14ac:dyDescent="0.25">
      <c r="A43" s="31">
        <v>41</v>
      </c>
      <c r="B43" s="31" t="s">
        <v>359</v>
      </c>
      <c r="C43" s="31" t="s">
        <v>360</v>
      </c>
      <c r="D43" s="31" t="s">
        <v>247</v>
      </c>
      <c r="E43" s="31" t="s">
        <v>361</v>
      </c>
      <c r="F43" s="31" t="s">
        <v>331</v>
      </c>
      <c r="G43" s="32" t="s">
        <v>250</v>
      </c>
      <c r="K43" s="44">
        <v>36</v>
      </c>
      <c r="L43" s="45" t="s">
        <v>534</v>
      </c>
      <c r="M43" s="45" t="s">
        <v>535</v>
      </c>
      <c r="N43" s="45" t="s">
        <v>536</v>
      </c>
      <c r="O43" s="45" t="s">
        <v>247</v>
      </c>
      <c r="P43" s="45" t="s">
        <v>537</v>
      </c>
    </row>
    <row r="44" spans="1:16" x14ac:dyDescent="0.25">
      <c r="A44" s="31">
        <v>42</v>
      </c>
      <c r="B44" s="31" t="s">
        <v>284</v>
      </c>
      <c r="C44" s="31" t="s">
        <v>362</v>
      </c>
      <c r="D44" s="31" t="s">
        <v>286</v>
      </c>
      <c r="E44" s="31" t="s">
        <v>363</v>
      </c>
      <c r="F44" s="31" t="s">
        <v>331</v>
      </c>
      <c r="G44" s="32" t="s">
        <v>250</v>
      </c>
      <c r="K44" s="44">
        <v>37</v>
      </c>
      <c r="L44" s="45" t="s">
        <v>538</v>
      </c>
      <c r="M44" s="45" t="s">
        <v>539</v>
      </c>
      <c r="N44" s="45" t="s">
        <v>540</v>
      </c>
      <c r="O44" s="45" t="s">
        <v>247</v>
      </c>
      <c r="P44" s="45" t="s">
        <v>537</v>
      </c>
    </row>
    <row r="45" spans="1:16" x14ac:dyDescent="0.25">
      <c r="A45" s="31">
        <v>43</v>
      </c>
      <c r="B45" s="31" t="s">
        <v>290</v>
      </c>
      <c r="C45" s="31" t="s">
        <v>290</v>
      </c>
      <c r="D45" s="31" t="s">
        <v>291</v>
      </c>
      <c r="E45" s="31" t="s">
        <v>364</v>
      </c>
      <c r="F45" s="31" t="s">
        <v>331</v>
      </c>
      <c r="G45" s="32" t="s">
        <v>250</v>
      </c>
      <c r="K45" s="44">
        <v>46</v>
      </c>
      <c r="L45" s="45" t="s">
        <v>541</v>
      </c>
      <c r="M45" s="45" t="s">
        <v>542</v>
      </c>
      <c r="N45" s="45" t="s">
        <v>543</v>
      </c>
      <c r="O45" s="45" t="s">
        <v>247</v>
      </c>
      <c r="P45" s="45"/>
    </row>
    <row r="46" spans="1:16" x14ac:dyDescent="0.25">
      <c r="A46" s="31">
        <v>44</v>
      </c>
      <c r="B46" s="31" t="s">
        <v>290</v>
      </c>
      <c r="C46" s="31" t="s">
        <v>290</v>
      </c>
      <c r="D46" s="31" t="s">
        <v>291</v>
      </c>
      <c r="E46" s="31" t="s">
        <v>365</v>
      </c>
      <c r="F46" s="31" t="s">
        <v>331</v>
      </c>
      <c r="G46" s="32" t="s">
        <v>250</v>
      </c>
      <c r="K46" s="44">
        <v>48</v>
      </c>
      <c r="L46" s="45" t="s">
        <v>544</v>
      </c>
      <c r="M46" s="45" t="s">
        <v>545</v>
      </c>
      <c r="N46" s="45" t="s">
        <v>546</v>
      </c>
      <c r="O46" s="45" t="s">
        <v>247</v>
      </c>
      <c r="P46" s="45"/>
    </row>
    <row r="47" spans="1:16" x14ac:dyDescent="0.25">
      <c r="A47" s="31">
        <v>45</v>
      </c>
      <c r="B47" s="31" t="s">
        <v>290</v>
      </c>
      <c r="C47" s="31" t="s">
        <v>290</v>
      </c>
      <c r="D47" s="31" t="s">
        <v>291</v>
      </c>
      <c r="E47" s="31" t="s">
        <v>366</v>
      </c>
      <c r="F47" s="31" t="s">
        <v>331</v>
      </c>
      <c r="G47" s="32" t="s">
        <v>250</v>
      </c>
      <c r="K47" s="44">
        <v>50</v>
      </c>
      <c r="L47" s="45" t="s">
        <v>547</v>
      </c>
      <c r="M47" s="45" t="s">
        <v>548</v>
      </c>
      <c r="N47" s="45" t="s">
        <v>549</v>
      </c>
      <c r="O47" s="45" t="s">
        <v>247</v>
      </c>
      <c r="P47" s="45"/>
    </row>
    <row r="48" spans="1:16" x14ac:dyDescent="0.25">
      <c r="A48" s="31">
        <v>46</v>
      </c>
      <c r="B48" s="31" t="s">
        <v>290</v>
      </c>
      <c r="C48" s="31" t="s">
        <v>290</v>
      </c>
      <c r="D48" s="31" t="s">
        <v>291</v>
      </c>
      <c r="E48" s="31" t="s">
        <v>367</v>
      </c>
      <c r="F48" s="31" t="s">
        <v>331</v>
      </c>
      <c r="G48" s="32" t="s">
        <v>250</v>
      </c>
      <c r="K48" s="44">
        <v>51</v>
      </c>
      <c r="L48" s="45" t="s">
        <v>550</v>
      </c>
      <c r="M48" s="45" t="s">
        <v>551</v>
      </c>
      <c r="N48" s="45" t="s">
        <v>552</v>
      </c>
      <c r="O48" s="45" t="s">
        <v>247</v>
      </c>
      <c r="P48" s="45" t="s">
        <v>553</v>
      </c>
    </row>
    <row r="49" spans="1:16" x14ac:dyDescent="0.25">
      <c r="A49" s="31">
        <v>47</v>
      </c>
      <c r="B49" s="31" t="s">
        <v>368</v>
      </c>
      <c r="C49" s="31" t="s">
        <v>369</v>
      </c>
      <c r="D49" s="31" t="s">
        <v>247</v>
      </c>
      <c r="E49" s="31" t="s">
        <v>370</v>
      </c>
      <c r="F49" s="31" t="s">
        <v>171</v>
      </c>
      <c r="G49" s="32" t="s">
        <v>250</v>
      </c>
      <c r="K49" s="44">
        <v>57</v>
      </c>
      <c r="L49" s="45" t="s">
        <v>554</v>
      </c>
      <c r="M49" s="45" t="s">
        <v>555</v>
      </c>
      <c r="N49" s="45" t="s">
        <v>556</v>
      </c>
      <c r="O49" s="45" t="s">
        <v>247</v>
      </c>
      <c r="P49" s="45"/>
    </row>
    <row r="50" spans="1:16" x14ac:dyDescent="0.25">
      <c r="A50" s="31">
        <v>48</v>
      </c>
      <c r="B50" s="31" t="s">
        <v>290</v>
      </c>
      <c r="C50" s="31" t="s">
        <v>290</v>
      </c>
      <c r="D50" s="31" t="s">
        <v>286</v>
      </c>
      <c r="E50" s="31" t="s">
        <v>371</v>
      </c>
      <c r="F50" s="31" t="s">
        <v>171</v>
      </c>
      <c r="G50" s="32" t="s">
        <v>250</v>
      </c>
      <c r="K50" s="44">
        <v>59</v>
      </c>
      <c r="L50" s="45" t="s">
        <v>557</v>
      </c>
      <c r="M50" s="45" t="s">
        <v>558</v>
      </c>
      <c r="N50" s="45" t="s">
        <v>559</v>
      </c>
      <c r="O50" s="45" t="s">
        <v>247</v>
      </c>
      <c r="P50" s="45"/>
    </row>
    <row r="51" spans="1:16" x14ac:dyDescent="0.25">
      <c r="A51" s="31">
        <v>49</v>
      </c>
      <c r="B51" s="31" t="s">
        <v>290</v>
      </c>
      <c r="C51" s="31" t="s">
        <v>290</v>
      </c>
      <c r="D51" s="31" t="s">
        <v>291</v>
      </c>
      <c r="E51" s="31" t="s">
        <v>372</v>
      </c>
      <c r="F51" s="31" t="s">
        <v>171</v>
      </c>
      <c r="G51" s="32" t="s">
        <v>250</v>
      </c>
      <c r="K51" s="44">
        <v>61</v>
      </c>
      <c r="L51" s="45" t="s">
        <v>560</v>
      </c>
      <c r="M51" s="45" t="s">
        <v>561</v>
      </c>
      <c r="N51" s="45" t="s">
        <v>562</v>
      </c>
      <c r="O51" s="45" t="s">
        <v>247</v>
      </c>
      <c r="P51" s="45"/>
    </row>
    <row r="52" spans="1:16" x14ac:dyDescent="0.25">
      <c r="A52" s="31">
        <v>50</v>
      </c>
      <c r="B52" s="31" t="s">
        <v>290</v>
      </c>
      <c r="C52" s="31" t="s">
        <v>290</v>
      </c>
      <c r="D52" s="31" t="s">
        <v>291</v>
      </c>
      <c r="E52" s="31" t="s">
        <v>373</v>
      </c>
      <c r="F52" s="31" t="s">
        <v>171</v>
      </c>
      <c r="G52" s="32" t="s">
        <v>250</v>
      </c>
      <c r="K52" s="44">
        <v>64</v>
      </c>
      <c r="L52" s="45" t="s">
        <v>563</v>
      </c>
      <c r="M52" s="45" t="s">
        <v>564</v>
      </c>
      <c r="N52" s="45" t="s">
        <v>565</v>
      </c>
      <c r="O52" s="45" t="s">
        <v>247</v>
      </c>
      <c r="P52" s="45"/>
    </row>
    <row r="53" spans="1:16" x14ac:dyDescent="0.25">
      <c r="A53" s="31">
        <v>51</v>
      </c>
      <c r="B53" s="31" t="s">
        <v>290</v>
      </c>
      <c r="C53" s="31" t="s">
        <v>290</v>
      </c>
      <c r="D53" s="31" t="s">
        <v>291</v>
      </c>
      <c r="E53" s="31" t="s">
        <v>374</v>
      </c>
      <c r="F53" s="31" t="s">
        <v>171</v>
      </c>
      <c r="G53" s="32" t="s">
        <v>250</v>
      </c>
      <c r="K53" s="44"/>
      <c r="L53" s="45"/>
      <c r="M53" s="45" t="s">
        <v>284</v>
      </c>
      <c r="N53" s="45" t="s">
        <v>566</v>
      </c>
      <c r="O53" s="45" t="s">
        <v>286</v>
      </c>
      <c r="P53" s="45"/>
    </row>
    <row r="54" spans="1:16" x14ac:dyDescent="0.25">
      <c r="A54" s="31">
        <v>52</v>
      </c>
      <c r="B54" s="31" t="s">
        <v>290</v>
      </c>
      <c r="C54" s="31" t="s">
        <v>290</v>
      </c>
      <c r="D54" s="31" t="s">
        <v>291</v>
      </c>
      <c r="E54" s="31" t="s">
        <v>375</v>
      </c>
      <c r="F54" s="31" t="s">
        <v>171</v>
      </c>
      <c r="G54" s="32" t="s">
        <v>250</v>
      </c>
      <c r="K54" s="44"/>
      <c r="L54" s="45"/>
      <c r="M54" s="45" t="s">
        <v>284</v>
      </c>
      <c r="N54" s="45" t="s">
        <v>567</v>
      </c>
      <c r="O54" s="45" t="s">
        <v>286</v>
      </c>
      <c r="P54" s="45"/>
    </row>
    <row r="55" spans="1:16" x14ac:dyDescent="0.25">
      <c r="A55" s="31">
        <v>53</v>
      </c>
      <c r="B55" s="31" t="s">
        <v>290</v>
      </c>
      <c r="C55" s="31" t="s">
        <v>290</v>
      </c>
      <c r="D55" s="31" t="s">
        <v>291</v>
      </c>
      <c r="E55" s="31" t="s">
        <v>376</v>
      </c>
      <c r="F55" s="31" t="s">
        <v>171</v>
      </c>
      <c r="G55" s="32" t="s">
        <v>250</v>
      </c>
      <c r="K55" s="44"/>
      <c r="L55" s="45"/>
      <c r="M55" s="45" t="s">
        <v>284</v>
      </c>
      <c r="N55" s="45" t="s">
        <v>568</v>
      </c>
      <c r="O55" s="45" t="s">
        <v>286</v>
      </c>
      <c r="P55" s="45"/>
    </row>
    <row r="56" spans="1:16" x14ac:dyDescent="0.25">
      <c r="A56" s="31">
        <v>54</v>
      </c>
      <c r="B56" s="31" t="s">
        <v>377</v>
      </c>
      <c r="C56" s="31" t="s">
        <v>378</v>
      </c>
      <c r="D56" s="31" t="s">
        <v>247</v>
      </c>
      <c r="E56" s="31" t="s">
        <v>379</v>
      </c>
      <c r="F56" s="31" t="s">
        <v>380</v>
      </c>
      <c r="G56" s="32" t="s">
        <v>250</v>
      </c>
      <c r="K56" s="44"/>
      <c r="L56" s="45"/>
      <c r="M56" s="45" t="s">
        <v>284</v>
      </c>
      <c r="N56" s="45" t="s">
        <v>569</v>
      </c>
      <c r="O56" s="45" t="s">
        <v>286</v>
      </c>
      <c r="P56" s="45"/>
    </row>
    <row r="57" spans="1:16" x14ac:dyDescent="0.25">
      <c r="A57" s="31">
        <v>55</v>
      </c>
      <c r="B57" s="31" t="s">
        <v>290</v>
      </c>
      <c r="C57" s="31" t="s">
        <v>290</v>
      </c>
      <c r="D57" s="31" t="s">
        <v>291</v>
      </c>
      <c r="E57" s="31" t="s">
        <v>381</v>
      </c>
      <c r="F57" s="31" t="s">
        <v>382</v>
      </c>
      <c r="G57" s="32" t="s">
        <v>383</v>
      </c>
      <c r="K57" s="44"/>
      <c r="L57" s="45"/>
      <c r="M57" s="45" t="s">
        <v>284</v>
      </c>
      <c r="N57" s="45" t="s">
        <v>570</v>
      </c>
      <c r="O57" s="45" t="s">
        <v>286</v>
      </c>
      <c r="P57" s="45"/>
    </row>
    <row r="58" spans="1:16" x14ac:dyDescent="0.25">
      <c r="A58" s="31">
        <v>56</v>
      </c>
      <c r="B58" s="31" t="s">
        <v>290</v>
      </c>
      <c r="C58" s="31" t="s">
        <v>290</v>
      </c>
      <c r="D58" s="31" t="s">
        <v>291</v>
      </c>
      <c r="E58" s="31" t="s">
        <v>384</v>
      </c>
      <c r="F58" s="31" t="s">
        <v>382</v>
      </c>
      <c r="G58" s="32" t="s">
        <v>383</v>
      </c>
      <c r="K58" s="45"/>
      <c r="L58" s="46" t="s">
        <v>571</v>
      </c>
      <c r="M58" s="46"/>
      <c r="N58" s="46" t="s">
        <v>572</v>
      </c>
      <c r="O58" s="46" t="s">
        <v>247</v>
      </c>
      <c r="P58" s="46"/>
    </row>
    <row r="59" spans="1:16" x14ac:dyDescent="0.25">
      <c r="A59" s="31">
        <v>57</v>
      </c>
      <c r="B59" s="31" t="s">
        <v>290</v>
      </c>
      <c r="C59" s="31" t="s">
        <v>290</v>
      </c>
      <c r="D59" s="31" t="s">
        <v>291</v>
      </c>
      <c r="E59" s="31" t="s">
        <v>385</v>
      </c>
      <c r="F59" s="31" t="s">
        <v>382</v>
      </c>
      <c r="G59" s="32" t="s">
        <v>383</v>
      </c>
      <c r="K59" s="45"/>
      <c r="L59" s="46" t="s">
        <v>573</v>
      </c>
      <c r="M59" s="46"/>
      <c r="N59" s="46" t="s">
        <v>574</v>
      </c>
      <c r="O59" s="46" t="s">
        <v>247</v>
      </c>
      <c r="P59" s="46"/>
    </row>
    <row r="60" spans="1:16" x14ac:dyDescent="0.25">
      <c r="A60" s="31">
        <v>58</v>
      </c>
      <c r="B60" s="31" t="s">
        <v>290</v>
      </c>
      <c r="C60" s="31" t="s">
        <v>290</v>
      </c>
      <c r="D60" s="31" t="s">
        <v>291</v>
      </c>
      <c r="E60" s="31" t="s">
        <v>386</v>
      </c>
      <c r="F60" s="31" t="s">
        <v>382</v>
      </c>
      <c r="G60" s="32" t="s">
        <v>383</v>
      </c>
      <c r="K60" s="45"/>
      <c r="L60" s="46" t="s">
        <v>575</v>
      </c>
      <c r="M60" s="46" t="s">
        <v>576</v>
      </c>
      <c r="N60" s="46" t="s">
        <v>577</v>
      </c>
      <c r="O60" s="46"/>
      <c r="P60" s="46"/>
    </row>
    <row r="61" spans="1:16" x14ac:dyDescent="0.25">
      <c r="A61" s="31">
        <v>59</v>
      </c>
      <c r="B61" s="31" t="s">
        <v>290</v>
      </c>
      <c r="C61" s="31" t="s">
        <v>290</v>
      </c>
      <c r="D61" s="31" t="s">
        <v>291</v>
      </c>
      <c r="E61" s="31" t="s">
        <v>387</v>
      </c>
      <c r="F61" s="31" t="s">
        <v>382</v>
      </c>
      <c r="G61" s="32" t="s">
        <v>383</v>
      </c>
      <c r="K61" s="45"/>
      <c r="L61" s="46" t="s">
        <v>578</v>
      </c>
      <c r="M61" s="46" t="s">
        <v>579</v>
      </c>
      <c r="N61" s="46" t="s">
        <v>580</v>
      </c>
      <c r="O61" s="46" t="s">
        <v>247</v>
      </c>
      <c r="P61" s="47" t="s">
        <v>581</v>
      </c>
    </row>
    <row r="62" spans="1:16" x14ac:dyDescent="0.25">
      <c r="A62" s="31">
        <v>60</v>
      </c>
      <c r="B62" s="31" t="s">
        <v>290</v>
      </c>
      <c r="C62" s="31" t="s">
        <v>290</v>
      </c>
      <c r="D62" s="31" t="s">
        <v>291</v>
      </c>
      <c r="E62" s="31" t="s">
        <v>388</v>
      </c>
      <c r="F62" s="31" t="s">
        <v>382</v>
      </c>
      <c r="G62" s="32" t="s">
        <v>383</v>
      </c>
      <c r="K62" s="45"/>
      <c r="L62" s="46" t="s">
        <v>582</v>
      </c>
      <c r="M62" s="46"/>
      <c r="N62" s="46" t="s">
        <v>583</v>
      </c>
      <c r="O62" s="46" t="s">
        <v>247</v>
      </c>
      <c r="P62" s="47"/>
    </row>
    <row r="63" spans="1:16" x14ac:dyDescent="0.25">
      <c r="A63" s="31">
        <v>61</v>
      </c>
      <c r="B63" s="31" t="s">
        <v>290</v>
      </c>
      <c r="C63" s="31" t="s">
        <v>290</v>
      </c>
      <c r="D63" s="31" t="s">
        <v>291</v>
      </c>
      <c r="E63" s="31" t="s">
        <v>389</v>
      </c>
      <c r="F63" s="31" t="s">
        <v>382</v>
      </c>
      <c r="G63" s="32" t="s">
        <v>383</v>
      </c>
      <c r="K63" s="45"/>
      <c r="L63" s="46" t="s">
        <v>584</v>
      </c>
      <c r="M63" s="46"/>
      <c r="N63" s="46"/>
      <c r="O63" s="46" t="s">
        <v>247</v>
      </c>
      <c r="P63" s="47"/>
    </row>
    <row r="64" spans="1:16" x14ac:dyDescent="0.25">
      <c r="A64" s="31">
        <v>62</v>
      </c>
      <c r="B64" s="31" t="s">
        <v>290</v>
      </c>
      <c r="C64" s="31" t="s">
        <v>290</v>
      </c>
      <c r="D64" s="31" t="s">
        <v>291</v>
      </c>
      <c r="E64" s="31" t="s">
        <v>390</v>
      </c>
      <c r="F64" s="31" t="s">
        <v>382</v>
      </c>
      <c r="G64" s="32" t="s">
        <v>383</v>
      </c>
      <c r="K64" s="45"/>
      <c r="L64" s="46" t="s">
        <v>585</v>
      </c>
      <c r="M64" s="46" t="s">
        <v>586</v>
      </c>
      <c r="N64" s="46"/>
      <c r="O64" s="46"/>
      <c r="P64" s="47" t="s">
        <v>587</v>
      </c>
    </row>
    <row r="65" spans="1:16" x14ac:dyDescent="0.25">
      <c r="A65" s="31">
        <v>63</v>
      </c>
      <c r="B65" s="31" t="s">
        <v>290</v>
      </c>
      <c r="C65" s="31" t="s">
        <v>290</v>
      </c>
      <c r="D65" s="31" t="s">
        <v>291</v>
      </c>
      <c r="E65" s="31" t="s">
        <v>391</v>
      </c>
      <c r="F65" s="31" t="s">
        <v>382</v>
      </c>
      <c r="G65" s="32" t="s">
        <v>383</v>
      </c>
      <c r="K65" s="45"/>
      <c r="L65" s="46" t="s">
        <v>588</v>
      </c>
      <c r="M65" s="46" t="s">
        <v>589</v>
      </c>
      <c r="N65" s="46" t="s">
        <v>590</v>
      </c>
      <c r="O65" s="46"/>
      <c r="P65" s="47"/>
    </row>
    <row r="66" spans="1:16" x14ac:dyDescent="0.25">
      <c r="A66" s="31">
        <v>64</v>
      </c>
      <c r="B66" s="31" t="s">
        <v>290</v>
      </c>
      <c r="C66" s="31" t="s">
        <v>290</v>
      </c>
      <c r="D66" s="31" t="s">
        <v>291</v>
      </c>
      <c r="E66" s="31" t="s">
        <v>392</v>
      </c>
      <c r="F66" s="31" t="s">
        <v>382</v>
      </c>
      <c r="G66" s="32" t="s">
        <v>383</v>
      </c>
      <c r="K66" s="45"/>
      <c r="L66" s="46" t="s">
        <v>591</v>
      </c>
      <c r="M66" s="46" t="s">
        <v>592</v>
      </c>
      <c r="N66" s="46"/>
      <c r="O66" s="46"/>
      <c r="P66" s="47"/>
    </row>
    <row r="67" spans="1:16" x14ac:dyDescent="0.25">
      <c r="A67" s="31">
        <v>65</v>
      </c>
      <c r="B67" s="31" t="s">
        <v>284</v>
      </c>
      <c r="C67" s="31" t="s">
        <v>393</v>
      </c>
      <c r="D67" s="31" t="s">
        <v>286</v>
      </c>
      <c r="E67" s="31" t="s">
        <v>394</v>
      </c>
      <c r="F67" s="31" t="s">
        <v>382</v>
      </c>
      <c r="G67" s="32" t="s">
        <v>250</v>
      </c>
      <c r="K67" s="45"/>
      <c r="L67" s="46" t="s">
        <v>593</v>
      </c>
      <c r="M67" s="46" t="s">
        <v>594</v>
      </c>
      <c r="N67" s="46" t="s">
        <v>595</v>
      </c>
      <c r="O67" s="46"/>
      <c r="P67" s="47"/>
    </row>
    <row r="68" spans="1:16" x14ac:dyDescent="0.25">
      <c r="A68" s="31">
        <v>66</v>
      </c>
      <c r="B68" s="31" t="s">
        <v>284</v>
      </c>
      <c r="C68" s="31" t="s">
        <v>395</v>
      </c>
      <c r="D68" s="31" t="s">
        <v>286</v>
      </c>
      <c r="E68" s="31" t="s">
        <v>396</v>
      </c>
      <c r="F68" s="31" t="s">
        <v>397</v>
      </c>
      <c r="G68" s="32" t="s">
        <v>398</v>
      </c>
      <c r="K68" s="45"/>
      <c r="L68" s="46" t="s">
        <v>596</v>
      </c>
      <c r="M68" s="46" t="s">
        <v>597</v>
      </c>
      <c r="N68" s="46"/>
      <c r="O68" s="46"/>
      <c r="P68" s="47"/>
    </row>
    <row r="69" spans="1:16" x14ac:dyDescent="0.25">
      <c r="A69" s="31">
        <v>67</v>
      </c>
      <c r="B69" s="31" t="s">
        <v>284</v>
      </c>
      <c r="C69" s="31" t="s">
        <v>399</v>
      </c>
      <c r="D69" s="31" t="s">
        <v>286</v>
      </c>
      <c r="E69" s="31" t="s">
        <v>400</v>
      </c>
      <c r="F69" s="31" t="s">
        <v>401</v>
      </c>
      <c r="G69" s="32" t="s">
        <v>250</v>
      </c>
      <c r="K69" s="45"/>
      <c r="L69" s="46" t="s">
        <v>598</v>
      </c>
      <c r="M69" s="46" t="s">
        <v>599</v>
      </c>
      <c r="N69" s="46" t="s">
        <v>600</v>
      </c>
      <c r="O69" s="46"/>
      <c r="P69" s="47" t="s">
        <v>601</v>
      </c>
    </row>
    <row r="70" spans="1:16" x14ac:dyDescent="0.25">
      <c r="A70" s="31">
        <v>68</v>
      </c>
      <c r="B70" s="31" t="s">
        <v>284</v>
      </c>
      <c r="C70" s="31" t="s">
        <v>402</v>
      </c>
      <c r="D70" s="31" t="s">
        <v>286</v>
      </c>
      <c r="E70" s="31" t="s">
        <v>403</v>
      </c>
      <c r="F70" s="31" t="s">
        <v>401</v>
      </c>
      <c r="G70" s="32" t="s">
        <v>250</v>
      </c>
      <c r="K70" s="45"/>
      <c r="L70" s="46" t="s">
        <v>602</v>
      </c>
      <c r="M70" s="46"/>
      <c r="N70" s="46" t="s">
        <v>603</v>
      </c>
      <c r="O70" s="46"/>
      <c r="P70" s="47"/>
    </row>
    <row r="71" spans="1:16" x14ac:dyDescent="0.25">
      <c r="A71" s="31">
        <v>69</v>
      </c>
      <c r="B71" s="31" t="s">
        <v>284</v>
      </c>
      <c r="C71" s="31" t="s">
        <v>404</v>
      </c>
      <c r="D71" s="31" t="s">
        <v>286</v>
      </c>
      <c r="E71" s="31" t="s">
        <v>405</v>
      </c>
      <c r="F71" s="31" t="s">
        <v>397</v>
      </c>
      <c r="G71" s="32" t="s">
        <v>250</v>
      </c>
      <c r="K71" s="45"/>
      <c r="L71" s="46" t="s">
        <v>604</v>
      </c>
      <c r="M71" s="46" t="s">
        <v>605</v>
      </c>
      <c r="N71" s="46" t="s">
        <v>606</v>
      </c>
      <c r="O71" s="46"/>
      <c r="P71" s="47"/>
    </row>
    <row r="72" spans="1:16" x14ac:dyDescent="0.25">
      <c r="A72" s="31">
        <v>70</v>
      </c>
      <c r="B72" s="31" t="s">
        <v>284</v>
      </c>
      <c r="C72" s="31" t="s">
        <v>406</v>
      </c>
      <c r="D72" s="31" t="s">
        <v>286</v>
      </c>
      <c r="E72" s="31" t="s">
        <v>407</v>
      </c>
      <c r="F72" s="31" t="s">
        <v>397</v>
      </c>
      <c r="G72" s="32" t="s">
        <v>250</v>
      </c>
      <c r="K72" s="45"/>
      <c r="L72" s="46" t="s">
        <v>607</v>
      </c>
      <c r="M72" s="46"/>
      <c r="N72" s="46" t="s">
        <v>608</v>
      </c>
      <c r="O72" s="46"/>
      <c r="P72" s="47"/>
    </row>
    <row r="73" spans="1:16" x14ac:dyDescent="0.25">
      <c r="A73" s="31">
        <v>71</v>
      </c>
      <c r="B73" s="31" t="s">
        <v>284</v>
      </c>
      <c r="C73" s="31" t="s">
        <v>408</v>
      </c>
      <c r="D73" s="31" t="s">
        <v>286</v>
      </c>
      <c r="E73" s="31" t="s">
        <v>409</v>
      </c>
      <c r="F73" s="31" t="s">
        <v>410</v>
      </c>
      <c r="G73" s="32" t="s">
        <v>411</v>
      </c>
      <c r="K73" s="45"/>
      <c r="L73" s="46" t="s">
        <v>609</v>
      </c>
      <c r="M73" s="46" t="s">
        <v>610</v>
      </c>
      <c r="N73" s="46" t="s">
        <v>611</v>
      </c>
      <c r="O73" s="46"/>
      <c r="P73" s="47"/>
    </row>
    <row r="74" spans="1:16" x14ac:dyDescent="0.25">
      <c r="A74" s="31">
        <v>72</v>
      </c>
      <c r="B74" s="31" t="s">
        <v>284</v>
      </c>
      <c r="C74" s="31" t="s">
        <v>412</v>
      </c>
      <c r="D74" s="31" t="s">
        <v>286</v>
      </c>
      <c r="E74" s="31" t="s">
        <v>413</v>
      </c>
      <c r="F74" s="31" t="s">
        <v>410</v>
      </c>
      <c r="G74" s="32" t="s">
        <v>411</v>
      </c>
      <c r="K74" s="45"/>
      <c r="L74" s="46" t="s">
        <v>612</v>
      </c>
      <c r="M74" s="46" t="s">
        <v>613</v>
      </c>
      <c r="N74" s="46" t="s">
        <v>614</v>
      </c>
      <c r="O74" s="46"/>
      <c r="P74" s="47" t="s">
        <v>615</v>
      </c>
    </row>
    <row r="75" spans="1:16" x14ac:dyDescent="0.25">
      <c r="A75" s="31">
        <v>73</v>
      </c>
      <c r="B75" s="31" t="s">
        <v>284</v>
      </c>
      <c r="C75" s="31" t="s">
        <v>414</v>
      </c>
      <c r="D75" s="31" t="s">
        <v>286</v>
      </c>
      <c r="E75" s="31" t="s">
        <v>415</v>
      </c>
      <c r="F75" s="31" t="s">
        <v>397</v>
      </c>
      <c r="G75" s="32" t="s">
        <v>250</v>
      </c>
      <c r="K75" s="45"/>
      <c r="L75" s="46" t="s">
        <v>616</v>
      </c>
      <c r="M75" s="46" t="s">
        <v>617</v>
      </c>
      <c r="N75" s="46"/>
      <c r="O75" s="46"/>
      <c r="P75" s="47"/>
    </row>
    <row r="76" spans="1:16" x14ac:dyDescent="0.25">
      <c r="A76" s="31">
        <v>74</v>
      </c>
      <c r="B76" s="31" t="s">
        <v>284</v>
      </c>
      <c r="C76" s="31" t="s">
        <v>416</v>
      </c>
      <c r="D76" s="31" t="s">
        <v>286</v>
      </c>
      <c r="E76" s="31" t="s">
        <v>417</v>
      </c>
      <c r="F76" s="31" t="s">
        <v>410</v>
      </c>
      <c r="G76" s="32" t="s">
        <v>411</v>
      </c>
      <c r="K76" s="45"/>
      <c r="L76" s="46" t="s">
        <v>618</v>
      </c>
      <c r="M76" s="46" t="s">
        <v>619</v>
      </c>
      <c r="N76" s="46"/>
      <c r="O76" s="46"/>
      <c r="P76" s="47"/>
    </row>
    <row r="77" spans="1:16" x14ac:dyDescent="0.25">
      <c r="A77" s="31">
        <v>75</v>
      </c>
      <c r="B77" s="31" t="s">
        <v>284</v>
      </c>
      <c r="C77" s="31" t="s">
        <v>418</v>
      </c>
      <c r="D77" s="31" t="s">
        <v>286</v>
      </c>
      <c r="E77" s="31" t="s">
        <v>419</v>
      </c>
      <c r="F77" s="31" t="s">
        <v>401</v>
      </c>
      <c r="G77" s="32" t="s">
        <v>250</v>
      </c>
    </row>
    <row r="78" spans="1:16" x14ac:dyDescent="0.25">
      <c r="A78" s="31">
        <v>76</v>
      </c>
      <c r="B78" s="31" t="s">
        <v>284</v>
      </c>
      <c r="C78" s="31" t="s">
        <v>420</v>
      </c>
      <c r="D78" s="31" t="s">
        <v>286</v>
      </c>
      <c r="E78" s="31" t="s">
        <v>421</v>
      </c>
      <c r="F78" s="31" t="s">
        <v>401</v>
      </c>
      <c r="G78" s="32" t="s">
        <v>250</v>
      </c>
    </row>
    <row r="79" spans="1:16" x14ac:dyDescent="0.25">
      <c r="A79" s="31">
        <v>77</v>
      </c>
      <c r="B79" s="31" t="s">
        <v>284</v>
      </c>
      <c r="C79" s="31" t="s">
        <v>422</v>
      </c>
      <c r="D79" s="31" t="s">
        <v>286</v>
      </c>
      <c r="E79" s="31" t="s">
        <v>423</v>
      </c>
      <c r="F79" s="31" t="s">
        <v>401</v>
      </c>
      <c r="G79" s="32" t="s">
        <v>250</v>
      </c>
    </row>
    <row r="80" spans="1:16" x14ac:dyDescent="0.25">
      <c r="A80" s="31">
        <v>78</v>
      </c>
      <c r="B80" s="31" t="s">
        <v>284</v>
      </c>
      <c r="C80" s="31" t="s">
        <v>424</v>
      </c>
      <c r="D80" s="31" t="s">
        <v>286</v>
      </c>
      <c r="E80" s="31" t="s">
        <v>425</v>
      </c>
      <c r="F80" s="31" t="s">
        <v>410</v>
      </c>
      <c r="G80" s="32" t="s">
        <v>411</v>
      </c>
    </row>
    <row r="81" spans="1:7" x14ac:dyDescent="0.25">
      <c r="A81" s="31">
        <v>79</v>
      </c>
      <c r="B81" s="31" t="s">
        <v>284</v>
      </c>
      <c r="C81" s="31" t="s">
        <v>426</v>
      </c>
      <c r="D81" s="31" t="s">
        <v>286</v>
      </c>
      <c r="E81" s="31" t="s">
        <v>427</v>
      </c>
      <c r="F81" s="31" t="s">
        <v>397</v>
      </c>
      <c r="G81" s="32" t="s">
        <v>250</v>
      </c>
    </row>
    <row r="82" spans="1:7" x14ac:dyDescent="0.25">
      <c r="A82" s="31">
        <v>80</v>
      </c>
      <c r="B82" s="31" t="s">
        <v>284</v>
      </c>
      <c r="C82" s="31" t="s">
        <v>428</v>
      </c>
      <c r="D82" s="31" t="s">
        <v>286</v>
      </c>
      <c r="E82" s="31" t="s">
        <v>429</v>
      </c>
      <c r="F82" s="31" t="s">
        <v>397</v>
      </c>
      <c r="G82" s="32" t="s">
        <v>250</v>
      </c>
    </row>
    <row r="83" spans="1:7" x14ac:dyDescent="0.25">
      <c r="A83" s="31">
        <v>81</v>
      </c>
      <c r="B83" s="31" t="s">
        <v>284</v>
      </c>
      <c r="C83" s="31" t="s">
        <v>430</v>
      </c>
      <c r="D83" s="31" t="s">
        <v>286</v>
      </c>
      <c r="E83" s="31" t="s">
        <v>431</v>
      </c>
      <c r="F83" s="31" t="s">
        <v>397</v>
      </c>
      <c r="G83" s="32" t="s">
        <v>250</v>
      </c>
    </row>
    <row r="84" spans="1:7" x14ac:dyDescent="0.25">
      <c r="A84" s="31">
        <v>82</v>
      </c>
      <c r="B84" s="31" t="s">
        <v>284</v>
      </c>
      <c r="C84" s="31" t="s">
        <v>432</v>
      </c>
      <c r="D84" s="31" t="s">
        <v>286</v>
      </c>
      <c r="E84" s="31" t="s">
        <v>433</v>
      </c>
      <c r="F84" s="31" t="s">
        <v>410</v>
      </c>
      <c r="G84" s="32" t="s">
        <v>411</v>
      </c>
    </row>
    <row r="85" spans="1:7" x14ac:dyDescent="0.25">
      <c r="A85" s="31">
        <v>83</v>
      </c>
      <c r="B85" s="31" t="s">
        <v>434</v>
      </c>
      <c r="C85" s="31" t="s">
        <v>435</v>
      </c>
      <c r="D85" s="31" t="s">
        <v>247</v>
      </c>
      <c r="E85" s="31" t="s">
        <v>436</v>
      </c>
      <c r="F85" s="31" t="s">
        <v>437</v>
      </c>
      <c r="G85" s="32" t="s">
        <v>250</v>
      </c>
    </row>
    <row r="86" spans="1:7" x14ac:dyDescent="0.25">
      <c r="A86" s="31">
        <v>84</v>
      </c>
      <c r="B86" s="31" t="s">
        <v>438</v>
      </c>
      <c r="C86" s="31" t="s">
        <v>439</v>
      </c>
      <c r="D86" s="31" t="s">
        <v>247</v>
      </c>
      <c r="E86" s="31" t="s">
        <v>440</v>
      </c>
      <c r="F86" s="31" t="s">
        <v>437</v>
      </c>
      <c r="G86" s="32" t="s">
        <v>250</v>
      </c>
    </row>
    <row r="87" spans="1:7" x14ac:dyDescent="0.25">
      <c r="A87" s="31">
        <v>85</v>
      </c>
      <c r="B87" s="31" t="s">
        <v>441</v>
      </c>
      <c r="C87" s="31" t="s">
        <v>442</v>
      </c>
      <c r="D87" s="31" t="s">
        <v>247</v>
      </c>
      <c r="E87" s="31" t="s">
        <v>443</v>
      </c>
      <c r="F87" s="31" t="s">
        <v>437</v>
      </c>
      <c r="G87" s="32" t="s">
        <v>250</v>
      </c>
    </row>
    <row r="88" spans="1:7" x14ac:dyDescent="0.25">
      <c r="A88" s="31">
        <v>86</v>
      </c>
      <c r="B88" s="31" t="s">
        <v>444</v>
      </c>
      <c r="C88" s="31" t="s">
        <v>445</v>
      </c>
      <c r="D88" s="31" t="s">
        <v>247</v>
      </c>
      <c r="E88" s="31" t="s">
        <v>446</v>
      </c>
      <c r="F88" s="31" t="s">
        <v>447</v>
      </c>
      <c r="G88" s="32" t="s">
        <v>250</v>
      </c>
    </row>
    <row r="89" spans="1:7" x14ac:dyDescent="0.25">
      <c r="A89" s="31">
        <v>87</v>
      </c>
      <c r="B89" s="31" t="s">
        <v>448</v>
      </c>
      <c r="C89" s="31" t="s">
        <v>449</v>
      </c>
      <c r="D89" s="31" t="s">
        <v>247</v>
      </c>
      <c r="E89" s="31" t="s">
        <v>450</v>
      </c>
      <c r="F89" s="31" t="s">
        <v>447</v>
      </c>
      <c r="G89" s="32" t="s">
        <v>250</v>
      </c>
    </row>
    <row r="90" spans="1:7" x14ac:dyDescent="0.25">
      <c r="A90" s="31">
        <v>88</v>
      </c>
      <c r="B90" s="31" t="s">
        <v>290</v>
      </c>
      <c r="C90" s="31" t="s">
        <v>290</v>
      </c>
      <c r="D90" s="31" t="s">
        <v>451</v>
      </c>
      <c r="E90" s="31" t="s">
        <v>452</v>
      </c>
      <c r="F90" s="31" t="s">
        <v>447</v>
      </c>
      <c r="G90" s="32" t="s">
        <v>250</v>
      </c>
    </row>
    <row r="91" spans="1:7" x14ac:dyDescent="0.25">
      <c r="A91" s="31">
        <v>89</v>
      </c>
      <c r="B91" s="31" t="s">
        <v>290</v>
      </c>
      <c r="C91" s="31" t="s">
        <v>290</v>
      </c>
      <c r="D91" s="31" t="s">
        <v>451</v>
      </c>
      <c r="E91" s="31" t="s">
        <v>453</v>
      </c>
      <c r="F91" s="31" t="s">
        <v>447</v>
      </c>
      <c r="G91" s="32" t="s">
        <v>250</v>
      </c>
    </row>
    <row r="92" spans="1:7" x14ac:dyDescent="0.25">
      <c r="A92" s="35">
        <v>90</v>
      </c>
      <c r="B92" s="35" t="s">
        <v>290</v>
      </c>
      <c r="C92" s="35" t="s">
        <v>290</v>
      </c>
      <c r="D92" s="35" t="s">
        <v>291</v>
      </c>
      <c r="E92" s="35" t="s">
        <v>454</v>
      </c>
      <c r="F92" s="35" t="s">
        <v>447</v>
      </c>
      <c r="G92" s="36" t="s">
        <v>250</v>
      </c>
    </row>
    <row r="93" spans="1:7" x14ac:dyDescent="0.25">
      <c r="A93" s="31">
        <v>90</v>
      </c>
      <c r="B93" s="45" t="s">
        <v>531</v>
      </c>
      <c r="C93" s="45" t="s">
        <v>532</v>
      </c>
      <c r="D93" s="31" t="s">
        <v>291</v>
      </c>
      <c r="E93" s="45" t="s">
        <v>530</v>
      </c>
      <c r="F93" s="45" t="s">
        <v>533</v>
      </c>
      <c r="G93" s="32" t="s">
        <v>250</v>
      </c>
    </row>
  </sheetData>
  <mergeCells count="1">
    <mergeCell ref="K1:P1"/>
  </mergeCells>
  <conditionalFormatting sqref="C1:C92 N2:N1048576 C94:C1048576">
    <cfRule type="duplicateValues" dxfId="26" priority="9"/>
  </conditionalFormatting>
  <conditionalFormatting sqref="C93">
    <cfRule type="duplicateValues" dxfId="25" priority="2"/>
  </conditionalFormatting>
  <conditionalFormatting sqref="E93">
    <cfRule type="duplicateValues" dxfId="24" priority="3"/>
  </conditionalFormatting>
  <conditionalFormatting sqref="L1:L1048576 E1:E1048576">
    <cfRule type="duplicateValues" dxfId="23" priority="1"/>
  </conditionalFormatting>
  <conditionalFormatting sqref="L2:L1048576 E1:E92 E94:E1048576">
    <cfRule type="duplicateValues" dxfId="22" priority="8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F4E5FCD7274D9A86D9A46EDB0266" ma:contentTypeVersion="11" ma:contentTypeDescription="Create a new document." ma:contentTypeScope="" ma:versionID="f7a733f057fa3818b9dc5e304d35d82a">
  <xsd:schema xmlns:xsd="http://www.w3.org/2001/XMLSchema" xmlns:xs="http://www.w3.org/2001/XMLSchema" xmlns:p="http://schemas.microsoft.com/office/2006/metadata/properties" xmlns:ns2="c6b4ce0e-01d6-4c96-9c55-4f4a0adda241" xmlns:ns3="ad807e31-9f9f-4b07-87ea-7851afe77c5a" targetNamespace="http://schemas.microsoft.com/office/2006/metadata/properties" ma:root="true" ma:fieldsID="9187e77ffa7a5d5c94dc725e713c8e4a" ns2:_="" ns3:_="">
    <xsd:import namespace="c6b4ce0e-01d6-4c96-9c55-4f4a0adda241"/>
    <xsd:import namespace="ad807e31-9f9f-4b07-87ea-7851afe77c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4ce0e-01d6-4c96-9c55-4f4a0adda2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69e6724-20b3-415d-8f9d-8bd55ef887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07e31-9f9f-4b07-87ea-7851afe77c5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b4ce0e-01d6-4c96-9c55-4f4a0adda2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5F5AC5-15C9-4668-9C89-C491D12856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C53997-7D9B-4B4E-87F0-214938FFF4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b4ce0e-01d6-4c96-9c55-4f4a0adda241"/>
    <ds:schemaRef ds:uri="ad807e31-9f9f-4b07-87ea-7851afe77c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BB18E9-DEF7-45A1-9082-290A2120A9C9}">
  <ds:schemaRefs>
    <ds:schemaRef ds:uri="http://schemas.microsoft.com/office/2006/metadata/properties"/>
    <ds:schemaRef ds:uri="http://schemas.microsoft.com/office/infopath/2007/PartnerControls"/>
    <ds:schemaRef ds:uri="c6b4ce0e-01d6-4c96-9c55-4f4a0adda2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Dashboard</vt:lpstr>
      <vt:lpstr>Asset Register</vt:lpstr>
      <vt:lpstr>Movement Log</vt:lpstr>
      <vt:lpstr>Lists</vt:lpstr>
      <vt:lpstr>Tab 8"</vt:lpstr>
      <vt:lpstr>Tab 10"</vt:lpstr>
      <vt:lpstr>PC</vt:lpstr>
      <vt:lpstr>VHF</vt:lpstr>
      <vt:lpstr>lstAction</vt:lpstr>
      <vt:lpstr>lstAssetID</vt:lpstr>
      <vt:lpstr>lstLocation</vt:lpstr>
      <vt:lpstr>lstOperator</vt:lpstr>
      <vt:lpstr>lstStatus</vt:lpstr>
      <vt:lpstr>lstType</vt:lpstr>
      <vt:lpstr>VerifyDays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Shafraz Abdul Muhsin</dc:creator>
  <cp:keywords/>
  <dc:description/>
  <cp:lastModifiedBy>Shafraz Abdul Muhusin</cp:lastModifiedBy>
  <cp:revision/>
  <dcterms:created xsi:type="dcterms:W3CDTF">2021-12-09T10:48:17Z</dcterms:created>
  <dcterms:modified xsi:type="dcterms:W3CDTF">2026-09-24T03:39:32Z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0x010100D761F4E5FCD7274D9A86D9A46EDB0266</vt:lpwstr>
  </property>
  <property fmtid="{D5CDD505-2E9C-101B-9397-08002B2CF9AE}" pid="3" name="MediaServiceImageTags">
    <vt:lpwstr/>
  </property>
</Properties>
</file>